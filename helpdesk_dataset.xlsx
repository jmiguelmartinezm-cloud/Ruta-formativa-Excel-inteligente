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se Martinez\Downloads\"/>
    </mc:Choice>
  </mc:AlternateContent>
  <xr:revisionPtr revIDLastSave="0" documentId="13_ncr:1_{E99AE155-27BC-45ED-986A-1B2D45AF77E0}" xr6:coauthVersionLast="47" xr6:coauthVersionMax="47" xr10:uidLastSave="{00000000-0000-0000-0000-000000000000}"/>
  <bookViews>
    <workbookView xWindow="-110" yWindow="-110" windowWidth="19420" windowHeight="10300" firstSheet="4" activeTab="6" xr2:uid="{00000000-000D-0000-FFFF-FFFF00000000}"/>
  </bookViews>
  <sheets>
    <sheet name="Data" sheetId="1" r:id="rId1"/>
    <sheet name="Gráfico recomendado" sheetId="2" r:id="rId2"/>
    <sheet name="Tabla recomendada" sheetId="4" r:id="rId3"/>
    <sheet name="Analizar datos" sheetId="5" r:id="rId4"/>
    <sheet name="Resumen Análisis IA" sheetId="6" r:id="rId5"/>
    <sheet name="Documentación" sheetId="7" r:id="rId6"/>
    <sheet name="Análisis Predictivo" sheetId="9" r:id="rId7"/>
  </sheets>
  <calcPr calcId="191029"/>
  <pivotCaches>
    <pivotCache cacheId="26" r:id="rId8"/>
    <pivotCache cacheId="3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6" l="1"/>
  <c r="C31" i="6"/>
  <c r="C30" i="6"/>
  <c r="C29" i="6"/>
  <c r="C28" i="6"/>
  <c r="B31" i="6"/>
  <c r="B30" i="6"/>
  <c r="B29" i="6"/>
  <c r="B28" i="6"/>
  <c r="B21" i="6"/>
  <c r="B20" i="6"/>
  <c r="B19" i="6"/>
  <c r="B18" i="6"/>
  <c r="B17" i="6"/>
  <c r="B10" i="6"/>
  <c r="C9" i="6"/>
  <c r="B9" i="6"/>
  <c r="C8" i="6"/>
  <c r="B8" i="6"/>
</calcChain>
</file>

<file path=xl/sharedStrings.xml><?xml version="1.0" encoding="utf-8"?>
<sst xmlns="http://schemas.openxmlformats.org/spreadsheetml/2006/main" count="956" uniqueCount="388">
  <si>
    <t>Case_ID</t>
  </si>
  <si>
    <t>Fecha_Creacion</t>
  </si>
  <si>
    <t>Fecha_Cierre</t>
  </si>
  <si>
    <t>Categoria</t>
  </si>
  <si>
    <t>Prioridad</t>
  </si>
  <si>
    <t>Canal</t>
  </si>
  <si>
    <t>Agente</t>
  </si>
  <si>
    <t>Estado</t>
  </si>
  <si>
    <t>Tiempo_Resolucion_Horas</t>
  </si>
  <si>
    <t>Satisfaccion_Cliente</t>
  </si>
  <si>
    <t>C-001</t>
  </si>
  <si>
    <t>2025-02-22 00:00</t>
  </si>
  <si>
    <t>2025-02-22 18:00</t>
  </si>
  <si>
    <t>Red</t>
  </si>
  <si>
    <t>Alta</t>
  </si>
  <si>
    <t>Portal</t>
  </si>
  <si>
    <t>Marta</t>
  </si>
  <si>
    <t>Resuelto</t>
  </si>
  <si>
    <t>C-002</t>
  </si>
  <si>
    <t>2025-01-16 00:00</t>
  </si>
  <si>
    <t>2025-01-18 11:00</t>
  </si>
  <si>
    <t>Otros</t>
  </si>
  <si>
    <t>Critica</t>
  </si>
  <si>
    <t>Escalado</t>
  </si>
  <si>
    <t>C-003</t>
  </si>
  <si>
    <t>2025-03-14 00:00</t>
  </si>
  <si>
    <t>2025-03-15 03:00</t>
  </si>
  <si>
    <t>Media</t>
  </si>
  <si>
    <t>Email</t>
  </si>
  <si>
    <t>C-004</t>
  </si>
  <si>
    <t>2025-03-25 00:00</t>
  </si>
  <si>
    <t>2025-03-26 02:00</t>
  </si>
  <si>
    <t>Software</t>
  </si>
  <si>
    <t>Carlos</t>
  </si>
  <si>
    <t>C-005</t>
  </si>
  <si>
    <t>2025-02-07 00:00</t>
  </si>
  <si>
    <t>2025-02-07 18:00</t>
  </si>
  <si>
    <t>Baja</t>
  </si>
  <si>
    <t>C-006</t>
  </si>
  <si>
    <t>2025-03-24 00:00</t>
  </si>
  <si>
    <t>2025-03-25 02:00</t>
  </si>
  <si>
    <t>Sofia</t>
  </si>
  <si>
    <t>C-007</t>
  </si>
  <si>
    <t>2025-04-11 00:00</t>
  </si>
  <si>
    <t>2025-04-11 04:00</t>
  </si>
  <si>
    <t>Chat</t>
  </si>
  <si>
    <t>Ana</t>
  </si>
  <si>
    <t>Cerrado</t>
  </si>
  <si>
    <t>C-008</t>
  </si>
  <si>
    <t>2025-01-14 00:00</t>
  </si>
  <si>
    <t>2025-01-15 23:00</t>
  </si>
  <si>
    <t>Hardware</t>
  </si>
  <si>
    <t>Telefono</t>
  </si>
  <si>
    <t>C-009</t>
  </si>
  <si>
    <t>2025-03-09 00:00</t>
  </si>
  <si>
    <t>2025-03-09 14:00</t>
  </si>
  <si>
    <t>C-010</t>
  </si>
  <si>
    <t>2025-03-24 18:00</t>
  </si>
  <si>
    <t>Acceso</t>
  </si>
  <si>
    <t>C-011</t>
  </si>
  <si>
    <t>2025-04-13 00:00</t>
  </si>
  <si>
    <t>2025-04-14 20:00</t>
  </si>
  <si>
    <t>Luis</t>
  </si>
  <si>
    <t>C-012</t>
  </si>
  <si>
    <t>2025-02-19 00:00</t>
  </si>
  <si>
    <t>2025-02-21 00:00</t>
  </si>
  <si>
    <t>C-013</t>
  </si>
  <si>
    <t>2025-02-06 00:00</t>
  </si>
  <si>
    <t>2025-02-08 10:00</t>
  </si>
  <si>
    <t>C-014</t>
  </si>
  <si>
    <t>2025-02-20 00:00</t>
  </si>
  <si>
    <t>2025-02-21 10:00</t>
  </si>
  <si>
    <t>C-015</t>
  </si>
  <si>
    <t>2025-02-21 17:00</t>
  </si>
  <si>
    <t>C-016</t>
  </si>
  <si>
    <t>2025-04-15 00:00</t>
  </si>
  <si>
    <t>2025-04-16 19:00</t>
  </si>
  <si>
    <t>C-017</t>
  </si>
  <si>
    <t>2025-04-14 00:00</t>
  </si>
  <si>
    <t>2025-04-14 22:00</t>
  </si>
  <si>
    <t>C-018</t>
  </si>
  <si>
    <t>2025-04-12 00:00</t>
  </si>
  <si>
    <t>2025-04-13 14:00</t>
  </si>
  <si>
    <t>C-019</t>
  </si>
  <si>
    <t>2025-01-28 00:00</t>
  </si>
  <si>
    <t>2025-01-29 12:00</t>
  </si>
  <si>
    <t>C-020</t>
  </si>
  <si>
    <t>2025-02-07 10:00</t>
  </si>
  <si>
    <t>C-021</t>
  </si>
  <si>
    <t>2025-02-07 08:00</t>
  </si>
  <si>
    <t>C-022</t>
  </si>
  <si>
    <t>2025-01-15 00:00</t>
  </si>
  <si>
    <t>2025-01-16 06:00</t>
  </si>
  <si>
    <t>C-023</t>
  </si>
  <si>
    <t>2025-02-07 11:00</t>
  </si>
  <si>
    <t>C-024</t>
  </si>
  <si>
    <t>2025-01-07 00:00</t>
  </si>
  <si>
    <t>2025-01-07 12:00</t>
  </si>
  <si>
    <t>C-025</t>
  </si>
  <si>
    <t>2025-04-02 00:00</t>
  </si>
  <si>
    <t>2025-04-03 14:00</t>
  </si>
  <si>
    <t>C-026</t>
  </si>
  <si>
    <t>2025-01-16 20:00</t>
  </si>
  <si>
    <t>C-027</t>
  </si>
  <si>
    <t>2025-01-12 00:00</t>
  </si>
  <si>
    <t>2025-01-12 09:00</t>
  </si>
  <si>
    <t>C-028</t>
  </si>
  <si>
    <t>2025-03-21 00:00</t>
  </si>
  <si>
    <t>2025-03-22 22:00</t>
  </si>
  <si>
    <t>C-029</t>
  </si>
  <si>
    <t>2025-03-24 12:00</t>
  </si>
  <si>
    <t>C-030</t>
  </si>
  <si>
    <t>2025-04-24 00:00</t>
  </si>
  <si>
    <t>2025-04-24 12:00</t>
  </si>
  <si>
    <t>C-031</t>
  </si>
  <si>
    <t>2025-04-13 23:00</t>
  </si>
  <si>
    <t>C-032</t>
  </si>
  <si>
    <t>2025-02-21 16:00</t>
  </si>
  <si>
    <t>C-033</t>
  </si>
  <si>
    <t>2025-01-08 16:00</t>
  </si>
  <si>
    <t>C-034</t>
  </si>
  <si>
    <t>2025-01-25 00:00</t>
  </si>
  <si>
    <t>2025-01-26 17:00</t>
  </si>
  <si>
    <t>C-035</t>
  </si>
  <si>
    <t>2025-02-13 00:00</t>
  </si>
  <si>
    <t>2025-02-13 03:00</t>
  </si>
  <si>
    <t>C-036</t>
  </si>
  <si>
    <t>2025-01-17 00:00</t>
  </si>
  <si>
    <t>2025-01-17 17:00</t>
  </si>
  <si>
    <t>C-037</t>
  </si>
  <si>
    <t>2025-03-10 00:00</t>
  </si>
  <si>
    <t>2025-03-10 09:00</t>
  </si>
  <si>
    <t>C-038</t>
  </si>
  <si>
    <t>2025-02-26 00:00</t>
  </si>
  <si>
    <t>2025-02-28 03:00</t>
  </si>
  <si>
    <t>C-039</t>
  </si>
  <si>
    <t>2025-02-22 06:00</t>
  </si>
  <si>
    <t>C-040</t>
  </si>
  <si>
    <t>2025-03-12 00:00</t>
  </si>
  <si>
    <t>2025-03-13 23:00</t>
  </si>
  <si>
    <t>C-041</t>
  </si>
  <si>
    <t>2025-01-05 00:00</t>
  </si>
  <si>
    <t>2025-01-07 13:00</t>
  </si>
  <si>
    <t>C-042</t>
  </si>
  <si>
    <t>2025-03-02 00:00</t>
  </si>
  <si>
    <t>2025-03-03 05:00</t>
  </si>
  <si>
    <t>C-043</t>
  </si>
  <si>
    <t>2025-02-24 00:00</t>
  </si>
  <si>
    <t>2025-02-24 09:00</t>
  </si>
  <si>
    <t>C-044</t>
  </si>
  <si>
    <t>2025-02-01 00:00</t>
  </si>
  <si>
    <t>2025-02-03 13:00</t>
  </si>
  <si>
    <t>C-045</t>
  </si>
  <si>
    <t>2025-04-11 05:00</t>
  </si>
  <si>
    <t>C-046</t>
  </si>
  <si>
    <t>2025-03-02 23:00</t>
  </si>
  <si>
    <t>C-047</t>
  </si>
  <si>
    <t>2025-03-31 00:00</t>
  </si>
  <si>
    <t>2025-03-31 10:00</t>
  </si>
  <si>
    <t>C-048</t>
  </si>
  <si>
    <t>2025-02-28 00:00</t>
  </si>
  <si>
    <t>C-049</t>
  </si>
  <si>
    <t>2025-01-29 00:00</t>
  </si>
  <si>
    <t>2025-01-30 11:00</t>
  </si>
  <si>
    <t>C-050</t>
  </si>
  <si>
    <t>2025-04-07 00:00</t>
  </si>
  <si>
    <t>2025-04-09 00:00</t>
  </si>
  <si>
    <t>C-051</t>
  </si>
  <si>
    <t>2025-03-11 15:00</t>
  </si>
  <si>
    <t>C-052</t>
  </si>
  <si>
    <t>2025-02-05 00:00</t>
  </si>
  <si>
    <t>2025-02-05 16:00</t>
  </si>
  <si>
    <t>C-053</t>
  </si>
  <si>
    <t>2025-03-06 00:00</t>
  </si>
  <si>
    <t>2025-03-07 21:00</t>
  </si>
  <si>
    <t>C-054</t>
  </si>
  <si>
    <t>2025-04-13 05:00</t>
  </si>
  <si>
    <t>C-055</t>
  </si>
  <si>
    <t>2025-02-01 05:00</t>
  </si>
  <si>
    <t>C-056</t>
  </si>
  <si>
    <t>2025-01-26 00:00</t>
  </si>
  <si>
    <t>2025-01-27 07:00</t>
  </si>
  <si>
    <t>C-057</t>
  </si>
  <si>
    <t>2025-02-23 00:00</t>
  </si>
  <si>
    <t>2025-02-23 16:00</t>
  </si>
  <si>
    <t>C-058</t>
  </si>
  <si>
    <t>2025-02-23 09:00</t>
  </si>
  <si>
    <t>C-059</t>
  </si>
  <si>
    <t>2025-04-18 00:00</t>
  </si>
  <si>
    <t>2025-04-19 14:00</t>
  </si>
  <si>
    <t>C-060</t>
  </si>
  <si>
    <t>2025-03-28 00:00</t>
  </si>
  <si>
    <t>2025-03-29 11:00</t>
  </si>
  <si>
    <t>C-061</t>
  </si>
  <si>
    <t>2025-02-26 12:00</t>
  </si>
  <si>
    <t>C-062</t>
  </si>
  <si>
    <t>2025-04-30 00:00</t>
  </si>
  <si>
    <t>2025-05-02 00:00</t>
  </si>
  <si>
    <t>C-063</t>
  </si>
  <si>
    <t>2025-01-10 00:00</t>
  </si>
  <si>
    <t>2025-01-10 23:00</t>
  </si>
  <si>
    <t>C-064</t>
  </si>
  <si>
    <t>2025-03-23 05:00</t>
  </si>
  <si>
    <t>C-065</t>
  </si>
  <si>
    <t>2025-02-20 16:00</t>
  </si>
  <si>
    <t>C-066</t>
  </si>
  <si>
    <t>2025-01-31 00:00</t>
  </si>
  <si>
    <t>2025-02-02 11:00</t>
  </si>
  <si>
    <t>C-067</t>
  </si>
  <si>
    <t>2025-04-22 00:00</t>
  </si>
  <si>
    <t>2025-04-23 17:00</t>
  </si>
  <si>
    <t>C-068</t>
  </si>
  <si>
    <t>2025-04-27 00:00</t>
  </si>
  <si>
    <t>2025-04-29 20:00</t>
  </si>
  <si>
    <t>C-069</t>
  </si>
  <si>
    <t>2025-04-27 23:00</t>
  </si>
  <si>
    <t>C-070</t>
  </si>
  <si>
    <t>2025-01-28 03:00</t>
  </si>
  <si>
    <t>C-071</t>
  </si>
  <si>
    <t>2025-04-14 01:00</t>
  </si>
  <si>
    <t>C-072</t>
  </si>
  <si>
    <t>2025-04-03 00:00</t>
  </si>
  <si>
    <t>C-073</t>
  </si>
  <si>
    <t>2025-03-13 17:00</t>
  </si>
  <si>
    <t>C-074</t>
  </si>
  <si>
    <t>2025-02-14 00:00</t>
  </si>
  <si>
    <t>2025-02-15 13:00</t>
  </si>
  <si>
    <t>C-075</t>
  </si>
  <si>
    <t>2025-03-16 00:00</t>
  </si>
  <si>
    <t>2025-03-16 23:00</t>
  </si>
  <si>
    <t>C-076</t>
  </si>
  <si>
    <t>2025-01-03 00:00</t>
  </si>
  <si>
    <t>2025-01-04 05:00</t>
  </si>
  <si>
    <t>C-077</t>
  </si>
  <si>
    <t>2025-03-14 15:00</t>
  </si>
  <si>
    <t>C-078</t>
  </si>
  <si>
    <t>2025-04-11 17:00</t>
  </si>
  <si>
    <t>C-079</t>
  </si>
  <si>
    <t>2025-03-06 09:00</t>
  </si>
  <si>
    <t>C-080</t>
  </si>
  <si>
    <t>2025-02-02 13:00</t>
  </si>
  <si>
    <t>C-081</t>
  </si>
  <si>
    <t>2025-04-23 00:00</t>
  </si>
  <si>
    <t>2025-04-25 11:00</t>
  </si>
  <si>
    <t>C-082</t>
  </si>
  <si>
    <t>2025-02-02 17:00</t>
  </si>
  <si>
    <t>C-083</t>
  </si>
  <si>
    <t>2025-03-01 00:00</t>
  </si>
  <si>
    <t>2025-03-02 13:00</t>
  </si>
  <si>
    <t>C-084</t>
  </si>
  <si>
    <t>2025-04-08 00:00</t>
  </si>
  <si>
    <t>2025-04-10 21:00</t>
  </si>
  <si>
    <t>C-085</t>
  </si>
  <si>
    <t>2025-04-29 06:00</t>
  </si>
  <si>
    <t>C-086</t>
  </si>
  <si>
    <t>2025-01-20 00:00</t>
  </si>
  <si>
    <t>2025-01-21 23:00</t>
  </si>
  <si>
    <t>C-087</t>
  </si>
  <si>
    <t>2025-03-26 00:00</t>
  </si>
  <si>
    <t>2025-03-27 23:00</t>
  </si>
  <si>
    <t>C-088</t>
  </si>
  <si>
    <t>2025-04-04 02:00</t>
  </si>
  <si>
    <t>C-089</t>
  </si>
  <si>
    <t>2025-01-02 00:00</t>
  </si>
  <si>
    <t>2025-01-02 07:00</t>
  </si>
  <si>
    <t>C-090</t>
  </si>
  <si>
    <t>2025-03-30 00:00</t>
  </si>
  <si>
    <t>2025-04-01 05:00</t>
  </si>
  <si>
    <t>C-091</t>
  </si>
  <si>
    <t>2025-02-08 00:00</t>
  </si>
  <si>
    <t>2025-02-08 22:00</t>
  </si>
  <si>
    <t>C-092</t>
  </si>
  <si>
    <t>2025-02-02 00:00</t>
  </si>
  <si>
    <t>2025-02-02 04:00</t>
  </si>
  <si>
    <t>C-093</t>
  </si>
  <si>
    <t>2025-01-06 00:00</t>
  </si>
  <si>
    <t>2025-01-06 10:00</t>
  </si>
  <si>
    <t>C-094</t>
  </si>
  <si>
    <t>2025-01-08 23:00</t>
  </si>
  <si>
    <t>C-095</t>
  </si>
  <si>
    <t>2025-03-03 12:00</t>
  </si>
  <si>
    <t>C-096</t>
  </si>
  <si>
    <t>2025-02-25 22:00</t>
  </si>
  <si>
    <t>C-097</t>
  </si>
  <si>
    <t>2025-03-27 00:00</t>
  </si>
  <si>
    <t>2025-03-27 04:00</t>
  </si>
  <si>
    <t>C-098</t>
  </si>
  <si>
    <t>2025-02-25 16:00</t>
  </si>
  <si>
    <t>C-099</t>
  </si>
  <si>
    <t>2025-01-14 23:00</t>
  </si>
  <si>
    <t>C-100</t>
  </si>
  <si>
    <t>2025-04-28 00:00</t>
  </si>
  <si>
    <t>2025-04-29 22:00</t>
  </si>
  <si>
    <t>Suma de Tiempo_Resolucion_Horas</t>
  </si>
  <si>
    <t>Cuenta de Case_ID</t>
  </si>
  <si>
    <t>Etiquetas de fila</t>
  </si>
  <si>
    <t>Total general</t>
  </si>
  <si>
    <t>Promedio de Tiempo_Resolucion_Horas</t>
  </si>
  <si>
    <t>📊 ANÁLISIS DE TICKETS DE SOPORTE</t>
  </si>
  <si>
    <t>Período: Enero - Abril 2025 | Total de casos: 100</t>
  </si>
  <si>
    <t>🔍 HALLAZGO 1: Alta tasa de escalamiento</t>
  </si>
  <si>
    <t>El 40% de los casos son escalados, lo que indica posibles problemas en la primera línea de soporte.</t>
  </si>
  <si>
    <t>Casos</t>
  </si>
  <si>
    <t>% del Total</t>
  </si>
  <si>
    <t>🔍 HALLAZGO 2: El canal Teléfono es el más lento</t>
  </si>
  <si>
    <t>Los casos por Teléfono tardan ~42 horas en promedio, vs ~29 horas por Email y Portal.</t>
  </si>
  <si>
    <t>Promedio Horas</t>
  </si>
  <si>
    <t>PROMEDIO TOTAL</t>
  </si>
  <si>
    <t>🔍 HALLAZGO 3: Prioridad Crítica con bajo rendimiento</t>
  </si>
  <si>
    <t>Los casos de prioridad Crítica tienen tiempo de resolución alto (~37 hrs) y satisfacción variable.</t>
  </si>
  <si>
    <t>Prom. Horas</t>
  </si>
  <si>
    <t>Prom. Satisfacción</t>
  </si>
  <si>
    <t>📝 PREGUNTAS PARA PROFUNDIZAR</t>
  </si>
  <si>
    <t>1. ¿Te interesa analizar el rendimiento específico de algún agente?</t>
  </si>
  <si>
    <t>2. ¿Quieres ver la evolución mensual de tickets y tiempos de resolución?</t>
  </si>
  <si>
    <t>3. ¿Deseas identificar qué categorías (Red, Software, Hardware, etc.) generan más escalamientos?</t>
  </si>
  <si>
    <t>4. ¿Te gustaría analizar la correlación entre tiempo de resolución y satisfacción del cliente?</t>
  </si>
  <si>
    <t>5. ¿Necesitas un análisis de carga de trabajo por agente y su impacto en la calidad?</t>
  </si>
  <si>
    <t>🚀 PRÓXIMOS PASOS SUGERIDOS</t>
  </si>
  <si>
    <t>• Crear un dashboard con KPIs clave y tendencias temporales</t>
  </si>
  <si>
    <t>• Analizar las causas raíz del alto porcentaje de escalamientos</t>
  </si>
  <si>
    <t>• Comparar rendimiento de agentes por categoría de ticket</t>
  </si>
  <si>
    <t>• Establecer SLAs basados en los datos actuales de tiempo de resolución</t>
  </si>
  <si>
    <t>Tema: tickets de una mesa de ayuda.</t>
  </si>
  <si>
    <t>Fuente de datos: Generados por IA.</t>
  </si>
  <si>
    <t>Funciones o herramientas de IA usadas: gráficos recomendados, tablas dinámicas recomendadas, análisis de datos y Copilot IA.</t>
  </si>
  <si>
    <t>Conclusiones: Mal tiempo de resolución en casos críticos.</t>
  </si>
  <si>
    <t>🔮 ANÁLISIS PREDICTIVO AVANZADO - TICKETS DE SOPORTE</t>
  </si>
  <si>
    <t>Series de Tiempo | Regresiones | Modelos de Probabilidad</t>
  </si>
  <si>
    <t>📈 1. ANÁLISIS DE SERIE TEMPORAL</t>
  </si>
  <si>
    <t>Modelo de tendencia lineal para predecir volumen de tickets</t>
  </si>
  <si>
    <t>Parámetro</t>
  </si>
  <si>
    <t>Valor</t>
  </si>
  <si>
    <t>Coeficiente de tendencia</t>
  </si>
  <si>
    <t>-0.039 tickets/semana</t>
  </si>
  <si>
    <t>Intercepto</t>
  </si>
  <si>
    <t>5.93 tickets</t>
  </si>
  <si>
    <t>Interpretación</t>
  </si>
  <si>
    <t>TENDENCIA ESTABLE</t>
  </si>
  <si>
    <t>Patrón detectado</t>
  </si>
  <si>
    <t>Picos en semanas 8 y 15</t>
  </si>
  <si>
    <t>🔮 Predicción próximas 4 semanas</t>
  </si>
  <si>
    <t>Semana 19 (Mayo S1)</t>
  </si>
  <si>
    <t>~5 tickets</t>
  </si>
  <si>
    <t>Semana 20 (Mayo S2)</t>
  </si>
  <si>
    <t>Semana 21 (Mayo S3)</t>
  </si>
  <si>
    <t>Semana 22 (Mayo S4)</t>
  </si>
  <si>
    <t>📊 2. MODELO DE REGRESIÓN - TIEMPO DE RESOLUCIÓN</t>
  </si>
  <si>
    <t>Variables: Prioridad, Canal, Categoría, Día de semana</t>
  </si>
  <si>
    <t>Métrica</t>
  </si>
  <si>
    <t>R² del modelo</t>
  </si>
  <si>
    <t>⚠️ Muy bajo - variables no predicen tiempo</t>
  </si>
  <si>
    <t>Tiempo base</t>
  </si>
  <si>
    <t>32.4 hrs</t>
  </si>
  <si>
    <t>Tiempo esperado promedio</t>
  </si>
  <si>
    <t>Mejor escenario</t>
  </si>
  <si>
    <t>~20 hrs</t>
  </si>
  <si>
    <t>Condiciones óptimas</t>
  </si>
  <si>
    <t>Peor escenario</t>
  </si>
  <si>
    <t>~50 hrs</t>
  </si>
  <si>
    <t>Condiciones desfavorables</t>
  </si>
  <si>
    <t>🔗 3. ANÁLISIS DE CORRELACIÓN</t>
  </si>
  <si>
    <t>Relación</t>
  </si>
  <si>
    <t>Coef. (r)</t>
  </si>
  <si>
    <t>Tiempo vs Satisfacción</t>
  </si>
  <si>
    <t>Correlación MUY DÉBIL</t>
  </si>
  <si>
    <t>Significancia estadística</t>
  </si>
  <si>
    <t>p &gt; 0.05</t>
  </si>
  <si>
    <t>NO significativo</t>
  </si>
  <si>
    <t>Conclusión</t>
  </si>
  <si>
    <t>La satisfacción NO depende del tiempo</t>
  </si>
  <si>
    <t>⚠️ 4. PROBABILIDAD DE ESCALAMIENTO</t>
  </si>
  <si>
    <t>Prob. Escal.</t>
  </si>
  <si>
    <t>Crítica</t>
  </si>
  <si>
    <t>Teléfono</t>
  </si>
  <si>
    <t>📅 5. ESTACIONALIDAD MENSUAL</t>
  </si>
  <si>
    <t>Mes</t>
  </si>
  <si>
    <t>Tickets</t>
  </si>
  <si>
    <t>Tiempo Prom.</t>
  </si>
  <si>
    <t>Satisfacción</t>
  </si>
  <si>
    <t>Enero</t>
  </si>
  <si>
    <t>34.6 hrs</t>
  </si>
  <si>
    <t>Febrero</t>
  </si>
  <si>
    <t>32.0 hrs</t>
  </si>
  <si>
    <t>Marzo</t>
  </si>
  <si>
    <t>31.5 hrs</t>
  </si>
  <si>
    <t>Abril</t>
  </si>
  <si>
    <t>38.8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</si>
</sst>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2E75B6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2E86AB"/>
        <bgColor indexed="64"/>
      </patternFill>
    </fill>
    <fill>
      <patternFill patternType="solid">
        <fgColor rgb="FFE8F4F8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164" fontId="0" fillId="0" borderId="1" xfId="0" applyNumberFormat="1" applyBorder="1"/>
    <xf numFmtId="0" fontId="1" fillId="0" borderId="1" xfId="0" applyFont="1" applyBorder="1"/>
    <xf numFmtId="164" fontId="1" fillId="0" borderId="1" xfId="0" applyNumberFormat="1" applyFont="1" applyBorder="1"/>
    <xf numFmtId="0" fontId="0" fillId="0" borderId="0" xfId="0"/>
    <xf numFmtId="0" fontId="7" fillId="3" borderId="0" xfId="0" applyFont="1" applyFill="1" applyAlignment="1">
      <alignment horizontal="center"/>
    </xf>
    <xf numFmtId="0" fontId="3" fillId="0" borderId="0" xfId="0" applyFont="1"/>
    <xf numFmtId="0" fontId="8" fillId="4" borderId="0" xfId="0" applyFont="1" applyFill="1" applyAlignment="1">
      <alignment horizontal="center"/>
    </xf>
    <xf numFmtId="0" fontId="1" fillId="0" borderId="0" xfId="0" applyFont="1"/>
    <xf numFmtId="0" fontId="9" fillId="5" borderId="0" xfId="0" applyFont="1" applyFill="1"/>
    <xf numFmtId="0" fontId="1" fillId="6" borderId="0" xfId="0" applyFont="1" applyFill="1"/>
    <xf numFmtId="0" fontId="9" fillId="7" borderId="0" xfId="0" applyFont="1" applyFill="1"/>
    <xf numFmtId="0" fontId="1" fillId="8" borderId="0" xfId="0" applyFont="1" applyFill="1"/>
    <xf numFmtId="0" fontId="9" fillId="9" borderId="0" xfId="0" applyFont="1" applyFill="1"/>
    <xf numFmtId="0" fontId="1" fillId="10" borderId="0" xfId="0" applyFont="1" applyFill="1"/>
    <xf numFmtId="0" fontId="9" fillId="11" borderId="0" xfId="0" applyFont="1" applyFill="1"/>
    <xf numFmtId="10" fontId="0" fillId="0" borderId="0" xfId="0" applyNumberFormat="1"/>
    <xf numFmtId="0" fontId="1" fillId="12" borderId="0" xfId="0" applyFont="1" applyFill="1"/>
    <xf numFmtId="10" fontId="10" fillId="0" borderId="0" xfId="0" applyNumberFormat="1" applyFont="1"/>
    <xf numFmtId="0" fontId="9" fillId="13" borderId="0" xfId="0" applyFont="1" applyFill="1"/>
    <xf numFmtId="0" fontId="1" fillId="14" borderId="0" xfId="0" applyFon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[helpdesk_dataset.xlsx]Gráfico recomendado!TablaDinámica15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Cuenta de Case_ID por Agente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'Gráfico recomendado'!$B$3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'Gráfico recomendado'!$A$4:$A$8</c:f>
              <c:strCache>
                <c:ptCount val="5"/>
                <c:pt idx="0">
                  <c:v>Ana</c:v>
                </c:pt>
                <c:pt idx="1">
                  <c:v>Carlos</c:v>
                </c:pt>
                <c:pt idx="2">
                  <c:v>Luis</c:v>
                </c:pt>
                <c:pt idx="3">
                  <c:v>Marta</c:v>
                </c:pt>
                <c:pt idx="4">
                  <c:v>Sofia</c:v>
                </c:pt>
              </c:strCache>
            </c:strRef>
          </c:cat>
          <c:val>
            <c:numRef>
              <c:f>'Gráfico recomendado'!$B$4:$B$8</c:f>
              <c:numCache>
                <c:formatCode>General</c:formatCode>
                <c:ptCount val="5"/>
                <c:pt idx="0">
                  <c:v>18</c:v>
                </c:pt>
                <c:pt idx="1">
                  <c:v>25</c:v>
                </c:pt>
                <c:pt idx="2">
                  <c:v>20</c:v>
                </c:pt>
                <c:pt idx="3">
                  <c:v>19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4-47CB-BF02-F0909C7D6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⏱️ Tiempo Promedio de Resolución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'Resumen Análisis IA'!$B$16</c:f>
              <c:strCache>
                <c:ptCount val="1"/>
                <c:pt idx="0">
                  <c:v>Promedio Horas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'Resumen Análisis IA'!$A$17:$A$20</c:f>
              <c:strCache>
                <c:ptCount val="4"/>
                <c:pt idx="0">
                  <c:v>Telefono</c:v>
                </c:pt>
                <c:pt idx="1">
                  <c:v>Chat</c:v>
                </c:pt>
                <c:pt idx="2">
                  <c:v>Email</c:v>
                </c:pt>
                <c:pt idx="3">
                  <c:v>Portal</c:v>
                </c:pt>
              </c:strCache>
            </c:strRef>
          </c:cat>
          <c:val>
            <c:numRef>
              <c:f>'Resumen Análisis IA'!$B$17:$B$20</c:f>
              <c:numCache>
                <c:formatCode>0.0</c:formatCode>
                <c:ptCount val="4"/>
                <c:pt idx="0">
                  <c:v>41.833333333333336</c:v>
                </c:pt>
                <c:pt idx="1">
                  <c:v>38.952380952380949</c:v>
                </c:pt>
                <c:pt idx="2">
                  <c:v>29</c:v>
                </c:pt>
                <c:pt idx="3">
                  <c:v>28.545454545454547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9-49F1-B676-330074863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1239151"/>
        <c:axId val="801232431"/>
      </c:barChart>
      <c:catAx>
        <c:axId val="801239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1232431"/>
        <c:crosses val="autoZero"/>
        <c:auto val="1"/>
        <c:lblAlgn val="ctr"/>
        <c:lblOffset val="100"/>
        <c:noMultiLvlLbl val="0"/>
      </c:catAx>
      <c:valAx>
        <c:axId val="80123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123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1146175</xdr:colOff>
      <xdr:row>5</xdr:row>
      <xdr:rowOff>6350</xdr:rowOff>
    </xdr:from>
    <xdr:to>
      <xdr:col>7</xdr:col>
      <xdr:colOff>746125</xdr:colOff>
      <xdr:row>19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B42941-9BC0-8B90-F228-952D90BB0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A1586B-86F6-DC37-8983-F5AEE6A5B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2667000</xdr:colOff>
      <xdr:row>2</xdr:row>
      <xdr:rowOff>152400</xdr:rowOff>
    </xdr:from>
    <xdr:to>
      <xdr:col>10</xdr:col>
      <xdr:colOff>635000</xdr:colOff>
      <xdr:row>36</xdr:row>
      <xdr:rowOff>114300</xdr:rowOff>
    </xdr:to>
    <xdr:pic>
      <xdr:nvPicPr>
        <xdr:cNvPr id="2" name="GraficoAnalisisPredictivo">
          <a:extLst>
            <a:ext uri="{FF2B5EF4-FFF2-40B4-BE49-F238E27FC236}">
              <a16:creationId xmlns:a16="http://schemas.microsoft.com/office/drawing/2014/main" id="{BC5CEF83-8F9D-FB49-2FD5-54B85BA1C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0" y="635000"/>
          <a:ext cx="7366000" cy="6350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Martinez" refreshedDate="46136.543659374998" createdVersion="8" refreshedVersion="8" minRefreshableVersion="3" recordCount="100" xr:uid="{8C15BB27-1A4A-4C75-8280-C59E2C5B270B}">
  <cacheSource type="worksheet">
    <worksheetSource ref="A1:J101" sheet="Data"/>
  </cacheSource>
  <cacheFields count="10">
    <cacheField name="Case_ID" numFmtId="0">
      <sharedItems/>
    </cacheField>
    <cacheField name="Fecha_Creacion" numFmtId="0">
      <sharedItems/>
    </cacheField>
    <cacheField name="Fecha_Cierre" numFmtId="0">
      <sharedItems/>
    </cacheField>
    <cacheField name="Categoria" numFmtId="0">
      <sharedItems/>
    </cacheField>
    <cacheField name="Prioridad" numFmtId="0">
      <sharedItems/>
    </cacheField>
    <cacheField name="Canal" numFmtId="0">
      <sharedItems/>
    </cacheField>
    <cacheField name="Agente" numFmtId="0">
      <sharedItems/>
    </cacheField>
    <cacheField name="Estado" numFmtId="0">
      <sharedItems count="3">
        <s v="Resuelto"/>
        <s v="Escalado"/>
        <s v="Cerrado"/>
      </sharedItems>
    </cacheField>
    <cacheField name="Tiempo_Resolucion_Horas" numFmtId="0">
      <sharedItems containsSemiMixedTypes="0" containsString="0" containsNumber="1" containsInteger="1" minValue="3" maxValue="72"/>
    </cacheField>
    <cacheField name="Satisfaccion_Cliente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Martinez" refreshedDate="46136.545083101853" createdVersion="8" refreshedVersion="8" minRefreshableVersion="3" recordCount="100" xr:uid="{CB258064-B14E-4490-9757-275AFC4D18EB}">
  <cacheSource type="worksheet">
    <worksheetSource ref="A1:J101" sheet="Data"/>
  </cacheSource>
  <cacheFields count="10">
    <cacheField name="Case_ID" numFmtId="0">
      <sharedItems/>
    </cacheField>
    <cacheField name="Fecha_Creacion" numFmtId="0">
      <sharedItems/>
    </cacheField>
    <cacheField name="Fecha_Cierre" numFmtId="0">
      <sharedItems/>
    </cacheField>
    <cacheField name="Categoria" numFmtId="0">
      <sharedItems/>
    </cacheField>
    <cacheField name="Prioridad" numFmtId="0">
      <sharedItems/>
    </cacheField>
    <cacheField name="Canal" numFmtId="0">
      <sharedItems count="4">
        <s v="Portal"/>
        <s v="Email"/>
        <s v="Chat"/>
        <s v="Telefono"/>
      </sharedItems>
    </cacheField>
    <cacheField name="Agente" numFmtId="0">
      <sharedItems count="5">
        <s v="Marta"/>
        <s v="Carlos"/>
        <s v="Sofia"/>
        <s v="Ana"/>
        <s v="Luis"/>
      </sharedItems>
    </cacheField>
    <cacheField name="Estado" numFmtId="0">
      <sharedItems/>
    </cacheField>
    <cacheField name="Tiempo_Resolucion_Horas" numFmtId="0">
      <sharedItems containsSemiMixedTypes="0" containsString="0" containsNumber="1" containsInteger="1" minValue="3" maxValue="72"/>
    </cacheField>
    <cacheField name="Satisfaccion_Cliente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-001"/>
    <s v="2025-02-22 00:00"/>
    <s v="2025-02-22 18:00"/>
    <s v="Red"/>
    <s v="Alta"/>
    <s v="Portal"/>
    <s v="Marta"/>
    <x v="0"/>
    <n v="18"/>
    <n v="4"/>
  </r>
  <r>
    <s v="C-002"/>
    <s v="2025-01-16 00:00"/>
    <s v="2025-01-18 11:00"/>
    <s v="Otros"/>
    <s v="Critica"/>
    <s v="Portal"/>
    <s v="Marta"/>
    <x v="1"/>
    <n v="59"/>
    <n v="2"/>
  </r>
  <r>
    <s v="C-003"/>
    <s v="2025-03-14 00:00"/>
    <s v="2025-03-15 03:00"/>
    <s v="Otros"/>
    <s v="Media"/>
    <s v="Email"/>
    <s v="Marta"/>
    <x v="1"/>
    <n v="27"/>
    <n v="3"/>
  </r>
  <r>
    <s v="C-004"/>
    <s v="2025-03-25 00:00"/>
    <s v="2025-03-26 02:00"/>
    <s v="Software"/>
    <s v="Alta"/>
    <s v="Portal"/>
    <s v="Carlos"/>
    <x v="1"/>
    <n v="26"/>
    <n v="3"/>
  </r>
  <r>
    <s v="C-005"/>
    <s v="2025-02-07 00:00"/>
    <s v="2025-02-07 18:00"/>
    <s v="Software"/>
    <s v="Baja"/>
    <s v="Email"/>
    <s v="Carlos"/>
    <x v="1"/>
    <n v="18"/>
    <n v="1"/>
  </r>
  <r>
    <s v="C-006"/>
    <s v="2025-03-24 00:00"/>
    <s v="2025-03-25 02:00"/>
    <s v="Red"/>
    <s v="Baja"/>
    <s v="Portal"/>
    <s v="Sofia"/>
    <x v="0"/>
    <n v="26"/>
    <n v="1"/>
  </r>
  <r>
    <s v="C-007"/>
    <s v="2025-04-11 00:00"/>
    <s v="2025-04-11 04:00"/>
    <s v="Software"/>
    <s v="Baja"/>
    <s v="Chat"/>
    <s v="Ana"/>
    <x v="2"/>
    <n v="4"/>
    <n v="3"/>
  </r>
  <r>
    <s v="C-008"/>
    <s v="2025-01-14 00:00"/>
    <s v="2025-01-15 23:00"/>
    <s v="Hardware"/>
    <s v="Critica"/>
    <s v="Telefono"/>
    <s v="Carlos"/>
    <x v="0"/>
    <n v="47"/>
    <n v="1"/>
  </r>
  <r>
    <s v="C-009"/>
    <s v="2025-03-09 00:00"/>
    <s v="2025-03-09 14:00"/>
    <s v="Hardware"/>
    <s v="Critica"/>
    <s v="Portal"/>
    <s v="Marta"/>
    <x v="1"/>
    <n v="14"/>
    <n v="4"/>
  </r>
  <r>
    <s v="C-010"/>
    <s v="2025-03-24 00:00"/>
    <s v="2025-03-24 18:00"/>
    <s v="Acceso"/>
    <s v="Media"/>
    <s v="Email"/>
    <s v="Carlos"/>
    <x v="0"/>
    <n v="18"/>
    <n v="1"/>
  </r>
  <r>
    <s v="C-011"/>
    <s v="2025-04-13 00:00"/>
    <s v="2025-04-14 20:00"/>
    <s v="Red"/>
    <s v="Media"/>
    <s v="Portal"/>
    <s v="Luis"/>
    <x v="0"/>
    <n v="44"/>
    <n v="4"/>
  </r>
  <r>
    <s v="C-012"/>
    <s v="2025-02-19 00:00"/>
    <s v="2025-02-21 00:00"/>
    <s v="Software"/>
    <s v="Alta"/>
    <s v="Portal"/>
    <s v="Carlos"/>
    <x v="0"/>
    <n v="48"/>
    <n v="3"/>
  </r>
  <r>
    <s v="C-013"/>
    <s v="2025-02-06 00:00"/>
    <s v="2025-02-08 10:00"/>
    <s v="Software"/>
    <s v="Critica"/>
    <s v="Telefono"/>
    <s v="Marta"/>
    <x v="1"/>
    <n v="58"/>
    <n v="3"/>
  </r>
  <r>
    <s v="C-014"/>
    <s v="2025-02-20 00:00"/>
    <s v="2025-02-21 10:00"/>
    <s v="Hardware"/>
    <s v="Alta"/>
    <s v="Telefono"/>
    <s v="Sofia"/>
    <x v="1"/>
    <n v="34"/>
    <n v="3"/>
  </r>
  <r>
    <s v="C-015"/>
    <s v="2025-02-19 00:00"/>
    <s v="2025-02-21 17:00"/>
    <s v="Acceso"/>
    <s v="Media"/>
    <s v="Email"/>
    <s v="Carlos"/>
    <x v="1"/>
    <n v="65"/>
    <n v="1"/>
  </r>
  <r>
    <s v="C-016"/>
    <s v="2025-04-15 00:00"/>
    <s v="2025-04-16 19:00"/>
    <s v="Otros"/>
    <s v="Alta"/>
    <s v="Telefono"/>
    <s v="Sofia"/>
    <x v="1"/>
    <n v="43"/>
    <n v="5"/>
  </r>
  <r>
    <s v="C-017"/>
    <s v="2025-04-14 00:00"/>
    <s v="2025-04-14 22:00"/>
    <s v="Acceso"/>
    <s v="Critica"/>
    <s v="Portal"/>
    <s v="Luis"/>
    <x v="2"/>
    <n v="22"/>
    <n v="3"/>
  </r>
  <r>
    <s v="C-018"/>
    <s v="2025-04-12 00:00"/>
    <s v="2025-04-13 14:00"/>
    <s v="Acceso"/>
    <s v="Baja"/>
    <s v="Email"/>
    <s v="Carlos"/>
    <x v="2"/>
    <n v="38"/>
    <n v="4"/>
  </r>
  <r>
    <s v="C-019"/>
    <s v="2025-01-28 00:00"/>
    <s v="2025-01-29 12:00"/>
    <s v="Red"/>
    <s v="Alta"/>
    <s v="Portal"/>
    <s v="Sofia"/>
    <x v="0"/>
    <n v="36"/>
    <n v="5"/>
  </r>
  <r>
    <s v="C-020"/>
    <s v="2025-02-06 00:00"/>
    <s v="2025-02-07 10:00"/>
    <s v="Acceso"/>
    <s v="Alta"/>
    <s v="Telefono"/>
    <s v="Carlos"/>
    <x v="2"/>
    <n v="34"/>
    <n v="4"/>
  </r>
  <r>
    <s v="C-021"/>
    <s v="2025-02-07 00:00"/>
    <s v="2025-02-07 08:00"/>
    <s v="Acceso"/>
    <s v="Media"/>
    <s v="Email"/>
    <s v="Marta"/>
    <x v="1"/>
    <n v="8"/>
    <n v="4"/>
  </r>
  <r>
    <s v="C-022"/>
    <s v="2025-01-15 00:00"/>
    <s v="2025-01-16 06:00"/>
    <s v="Otros"/>
    <s v="Media"/>
    <s v="Portal"/>
    <s v="Carlos"/>
    <x v="2"/>
    <n v="30"/>
    <n v="2"/>
  </r>
  <r>
    <s v="C-023"/>
    <s v="2025-02-07 00:00"/>
    <s v="2025-02-07 11:00"/>
    <s v="Otros"/>
    <s v="Media"/>
    <s v="Portal"/>
    <s v="Luis"/>
    <x v="1"/>
    <n v="11"/>
    <n v="1"/>
  </r>
  <r>
    <s v="C-024"/>
    <s v="2025-01-07 00:00"/>
    <s v="2025-01-07 12:00"/>
    <s v="Red"/>
    <s v="Alta"/>
    <s v="Portal"/>
    <s v="Ana"/>
    <x v="2"/>
    <n v="12"/>
    <n v="5"/>
  </r>
  <r>
    <s v="C-025"/>
    <s v="2025-04-02 00:00"/>
    <s v="2025-04-03 14:00"/>
    <s v="Software"/>
    <s v="Alta"/>
    <s v="Chat"/>
    <s v="Carlos"/>
    <x v="1"/>
    <n v="38"/>
    <n v="4"/>
  </r>
  <r>
    <s v="C-026"/>
    <s v="2025-01-16 00:00"/>
    <s v="2025-01-16 20:00"/>
    <s v="Acceso"/>
    <s v="Critica"/>
    <s v="Email"/>
    <s v="Ana"/>
    <x v="0"/>
    <n v="20"/>
    <n v="2"/>
  </r>
  <r>
    <s v="C-027"/>
    <s v="2025-01-12 00:00"/>
    <s v="2025-01-12 09:00"/>
    <s v="Software"/>
    <s v="Alta"/>
    <s v="Email"/>
    <s v="Carlos"/>
    <x v="1"/>
    <n v="9"/>
    <n v="5"/>
  </r>
  <r>
    <s v="C-028"/>
    <s v="2025-03-21 00:00"/>
    <s v="2025-03-22 22:00"/>
    <s v="Otros"/>
    <s v="Critica"/>
    <s v="Email"/>
    <s v="Marta"/>
    <x v="1"/>
    <n v="46"/>
    <n v="1"/>
  </r>
  <r>
    <s v="C-029"/>
    <s v="2025-03-24 00:00"/>
    <s v="2025-03-24 12:00"/>
    <s v="Acceso"/>
    <s v="Baja"/>
    <s v="Portal"/>
    <s v="Carlos"/>
    <x v="1"/>
    <n v="12"/>
    <n v="3"/>
  </r>
  <r>
    <s v="C-030"/>
    <s v="2025-04-24 00:00"/>
    <s v="2025-04-24 12:00"/>
    <s v="Software"/>
    <s v="Critica"/>
    <s v="Chat"/>
    <s v="Sofia"/>
    <x v="2"/>
    <n v="12"/>
    <n v="5"/>
  </r>
  <r>
    <s v="C-031"/>
    <s v="2025-04-11 00:00"/>
    <s v="2025-04-13 23:00"/>
    <s v="Otros"/>
    <s v="Media"/>
    <s v="Telefono"/>
    <s v="Sofia"/>
    <x v="1"/>
    <n v="71"/>
    <n v="2"/>
  </r>
  <r>
    <s v="C-032"/>
    <s v="2025-02-21 00:00"/>
    <s v="2025-02-21 16:00"/>
    <s v="Otros"/>
    <s v="Media"/>
    <s v="Email"/>
    <s v="Marta"/>
    <x v="0"/>
    <n v="16"/>
    <n v="4"/>
  </r>
  <r>
    <s v="C-033"/>
    <s v="2025-01-07 00:00"/>
    <s v="2025-01-08 16:00"/>
    <s v="Acceso"/>
    <s v="Alta"/>
    <s v="Chat"/>
    <s v="Carlos"/>
    <x v="0"/>
    <n v="40"/>
    <n v="3"/>
  </r>
  <r>
    <s v="C-034"/>
    <s v="2025-01-25 00:00"/>
    <s v="2025-01-26 17:00"/>
    <s v="Acceso"/>
    <s v="Alta"/>
    <s v="Portal"/>
    <s v="Marta"/>
    <x v="2"/>
    <n v="41"/>
    <n v="3"/>
  </r>
  <r>
    <s v="C-035"/>
    <s v="2025-02-13 00:00"/>
    <s v="2025-02-13 03:00"/>
    <s v="Acceso"/>
    <s v="Alta"/>
    <s v="Email"/>
    <s v="Carlos"/>
    <x v="2"/>
    <n v="3"/>
    <n v="4"/>
  </r>
  <r>
    <s v="C-036"/>
    <s v="2025-01-17 00:00"/>
    <s v="2025-01-17 17:00"/>
    <s v="Red"/>
    <s v="Baja"/>
    <s v="Email"/>
    <s v="Ana"/>
    <x v="2"/>
    <n v="17"/>
    <n v="4"/>
  </r>
  <r>
    <s v="C-037"/>
    <s v="2025-03-10 00:00"/>
    <s v="2025-03-10 09:00"/>
    <s v="Hardware"/>
    <s v="Baja"/>
    <s v="Email"/>
    <s v="Sofia"/>
    <x v="0"/>
    <n v="9"/>
    <n v="3"/>
  </r>
  <r>
    <s v="C-038"/>
    <s v="2025-02-26 00:00"/>
    <s v="2025-02-28 03:00"/>
    <s v="Hardware"/>
    <s v="Media"/>
    <s v="Chat"/>
    <s v="Ana"/>
    <x v="1"/>
    <n v="51"/>
    <n v="3"/>
  </r>
  <r>
    <s v="C-039"/>
    <s v="2025-02-22 00:00"/>
    <s v="2025-02-22 06:00"/>
    <s v="Acceso"/>
    <s v="Baja"/>
    <s v="Email"/>
    <s v="Marta"/>
    <x v="0"/>
    <n v="6"/>
    <n v="2"/>
  </r>
  <r>
    <s v="C-040"/>
    <s v="2025-03-12 00:00"/>
    <s v="2025-03-13 23:00"/>
    <s v="Red"/>
    <s v="Baja"/>
    <s v="Chat"/>
    <s v="Carlos"/>
    <x v="0"/>
    <n v="47"/>
    <n v="3"/>
  </r>
  <r>
    <s v="C-041"/>
    <s v="2025-01-05 00:00"/>
    <s v="2025-01-07 13:00"/>
    <s v="Otros"/>
    <s v="Baja"/>
    <s v="Portal"/>
    <s v="Sofia"/>
    <x v="2"/>
    <n v="61"/>
    <n v="3"/>
  </r>
  <r>
    <s v="C-042"/>
    <s v="2025-03-02 00:00"/>
    <s v="2025-03-03 05:00"/>
    <s v="Otros"/>
    <s v="Critica"/>
    <s v="Chat"/>
    <s v="Luis"/>
    <x v="2"/>
    <n v="29"/>
    <n v="3"/>
  </r>
  <r>
    <s v="C-043"/>
    <s v="2025-02-24 00:00"/>
    <s v="2025-02-24 09:00"/>
    <s v="Red"/>
    <s v="Media"/>
    <s v="Telefono"/>
    <s v="Luis"/>
    <x v="1"/>
    <n v="9"/>
    <n v="2"/>
  </r>
  <r>
    <s v="C-044"/>
    <s v="2025-02-01 00:00"/>
    <s v="2025-02-03 13:00"/>
    <s v="Hardware"/>
    <s v="Alta"/>
    <s v="Telefono"/>
    <s v="Luis"/>
    <x v="2"/>
    <n v="61"/>
    <n v="1"/>
  </r>
  <r>
    <s v="C-045"/>
    <s v="2025-04-11 00:00"/>
    <s v="2025-04-11 05:00"/>
    <s v="Software"/>
    <s v="Baja"/>
    <s v="Portal"/>
    <s v="Ana"/>
    <x v="2"/>
    <n v="5"/>
    <n v="2"/>
  </r>
  <r>
    <s v="C-046"/>
    <s v="2025-03-02 00:00"/>
    <s v="2025-03-02 23:00"/>
    <s v="Acceso"/>
    <s v="Alta"/>
    <s v="Portal"/>
    <s v="Carlos"/>
    <x v="2"/>
    <n v="23"/>
    <n v="1"/>
  </r>
  <r>
    <s v="C-047"/>
    <s v="2025-03-31 00:00"/>
    <s v="2025-03-31 10:00"/>
    <s v="Acceso"/>
    <s v="Critica"/>
    <s v="Chat"/>
    <s v="Luis"/>
    <x v="0"/>
    <n v="10"/>
    <n v="2"/>
  </r>
  <r>
    <s v="C-048"/>
    <s v="2025-02-28 00:00"/>
    <s v="2025-03-02 23:00"/>
    <s v="Red"/>
    <s v="Alta"/>
    <s v="Telefono"/>
    <s v="Ana"/>
    <x v="2"/>
    <n v="71"/>
    <n v="5"/>
  </r>
  <r>
    <s v="C-049"/>
    <s v="2025-01-29 00:00"/>
    <s v="2025-01-30 11:00"/>
    <s v="Otros"/>
    <s v="Media"/>
    <s v="Portal"/>
    <s v="Marta"/>
    <x v="1"/>
    <n v="35"/>
    <n v="5"/>
  </r>
  <r>
    <s v="C-050"/>
    <s v="2025-04-07 00:00"/>
    <s v="2025-04-09 00:00"/>
    <s v="Acceso"/>
    <s v="Alta"/>
    <s v="Telefono"/>
    <s v="Ana"/>
    <x v="2"/>
    <n v="48"/>
    <n v="3"/>
  </r>
  <r>
    <s v="C-051"/>
    <s v="2025-03-09 00:00"/>
    <s v="2025-03-11 15:00"/>
    <s v="Otros"/>
    <s v="Critica"/>
    <s v="Chat"/>
    <s v="Carlos"/>
    <x v="1"/>
    <n v="63"/>
    <n v="2"/>
  </r>
  <r>
    <s v="C-052"/>
    <s v="2025-02-05 00:00"/>
    <s v="2025-02-05 16:00"/>
    <s v="Otros"/>
    <s v="Critica"/>
    <s v="Portal"/>
    <s v="Marta"/>
    <x v="1"/>
    <n v="16"/>
    <n v="3"/>
  </r>
  <r>
    <s v="C-053"/>
    <s v="2025-03-06 00:00"/>
    <s v="2025-03-07 21:00"/>
    <s v="Hardware"/>
    <s v="Baja"/>
    <s v="Chat"/>
    <s v="Ana"/>
    <x v="0"/>
    <n v="45"/>
    <n v="3"/>
  </r>
  <r>
    <s v="C-054"/>
    <s v="2025-04-13 00:00"/>
    <s v="2025-04-13 05:00"/>
    <s v="Hardware"/>
    <s v="Media"/>
    <s v="Portal"/>
    <s v="Carlos"/>
    <x v="0"/>
    <n v="5"/>
    <n v="2"/>
  </r>
  <r>
    <s v="C-055"/>
    <s v="2025-02-01 00:00"/>
    <s v="2025-02-01 05:00"/>
    <s v="Red"/>
    <s v="Alta"/>
    <s v="Chat"/>
    <s v="Ana"/>
    <x v="0"/>
    <n v="5"/>
    <n v="5"/>
  </r>
  <r>
    <s v="C-056"/>
    <s v="2025-01-26 00:00"/>
    <s v="2025-01-27 07:00"/>
    <s v="Otros"/>
    <s v="Media"/>
    <s v="Portal"/>
    <s v="Sofia"/>
    <x v="0"/>
    <n v="31"/>
    <n v="5"/>
  </r>
  <r>
    <s v="C-057"/>
    <s v="2025-02-23 00:00"/>
    <s v="2025-02-23 16:00"/>
    <s v="Acceso"/>
    <s v="Alta"/>
    <s v="Portal"/>
    <s v="Carlos"/>
    <x v="0"/>
    <n v="16"/>
    <n v="1"/>
  </r>
  <r>
    <s v="C-058"/>
    <s v="2025-02-21 00:00"/>
    <s v="2025-02-23 09:00"/>
    <s v="Otros"/>
    <s v="Baja"/>
    <s v="Email"/>
    <s v="Ana"/>
    <x v="2"/>
    <n v="57"/>
    <n v="4"/>
  </r>
  <r>
    <s v="C-059"/>
    <s v="2025-04-18 00:00"/>
    <s v="2025-04-19 14:00"/>
    <s v="Hardware"/>
    <s v="Alta"/>
    <s v="Chat"/>
    <s v="Marta"/>
    <x v="2"/>
    <n v="38"/>
    <n v="2"/>
  </r>
  <r>
    <s v="C-060"/>
    <s v="2025-03-28 00:00"/>
    <s v="2025-03-29 11:00"/>
    <s v="Software"/>
    <s v="Alta"/>
    <s v="Portal"/>
    <s v="Ana"/>
    <x v="1"/>
    <n v="35"/>
    <n v="1"/>
  </r>
  <r>
    <s v="C-061"/>
    <s v="2025-02-26 00:00"/>
    <s v="2025-02-26 12:00"/>
    <s v="Otros"/>
    <s v="Media"/>
    <s v="Email"/>
    <s v="Luis"/>
    <x v="1"/>
    <n v="12"/>
    <n v="1"/>
  </r>
  <r>
    <s v="C-062"/>
    <s v="2025-04-30 00:00"/>
    <s v="2025-05-02 00:00"/>
    <s v="Hardware"/>
    <s v="Baja"/>
    <s v="Portal"/>
    <s v="Luis"/>
    <x v="0"/>
    <n v="48"/>
    <n v="5"/>
  </r>
  <r>
    <s v="C-063"/>
    <s v="2025-01-10 00:00"/>
    <s v="2025-01-10 23:00"/>
    <s v="Otros"/>
    <s v="Alta"/>
    <s v="Telefono"/>
    <s v="Marta"/>
    <x v="2"/>
    <n v="23"/>
    <n v="1"/>
  </r>
  <r>
    <s v="C-064"/>
    <s v="2025-03-21 00:00"/>
    <s v="2025-03-23 05:00"/>
    <s v="Software"/>
    <s v="Alta"/>
    <s v="Email"/>
    <s v="Carlos"/>
    <x v="1"/>
    <n v="53"/>
    <n v="3"/>
  </r>
  <r>
    <s v="C-065"/>
    <s v="2025-02-19 00:00"/>
    <s v="2025-02-20 16:00"/>
    <s v="Acceso"/>
    <s v="Critica"/>
    <s v="Telefono"/>
    <s v="Carlos"/>
    <x v="0"/>
    <n v="40"/>
    <n v="5"/>
  </r>
  <r>
    <s v="C-066"/>
    <s v="2025-01-31 00:00"/>
    <s v="2025-02-02 11:00"/>
    <s v="Acceso"/>
    <s v="Alta"/>
    <s v="Chat"/>
    <s v="Luis"/>
    <x v="0"/>
    <n v="59"/>
    <n v="2"/>
  </r>
  <r>
    <s v="C-067"/>
    <s v="2025-04-22 00:00"/>
    <s v="2025-04-23 17:00"/>
    <s v="Hardware"/>
    <s v="Critica"/>
    <s v="Chat"/>
    <s v="Carlos"/>
    <x v="2"/>
    <n v="41"/>
    <n v="5"/>
  </r>
  <r>
    <s v="C-068"/>
    <s v="2025-04-27 00:00"/>
    <s v="2025-04-29 20:00"/>
    <s v="Software"/>
    <s v="Baja"/>
    <s v="Portal"/>
    <s v="Luis"/>
    <x v="1"/>
    <n v="68"/>
    <n v="5"/>
  </r>
  <r>
    <s v="C-069"/>
    <s v="2025-04-27 00:00"/>
    <s v="2025-04-27 23:00"/>
    <s v="Acceso"/>
    <s v="Alta"/>
    <s v="Telefono"/>
    <s v="Luis"/>
    <x v="1"/>
    <n v="23"/>
    <n v="5"/>
  </r>
  <r>
    <s v="C-070"/>
    <s v="2025-01-26 00:00"/>
    <s v="2025-01-28 03:00"/>
    <s v="Otros"/>
    <s v="Media"/>
    <s v="Telefono"/>
    <s v="Ana"/>
    <x v="0"/>
    <n v="51"/>
    <n v="3"/>
  </r>
  <r>
    <s v="C-071"/>
    <s v="2025-04-12 00:00"/>
    <s v="2025-04-14 01:00"/>
    <s v="Software"/>
    <s v="Critica"/>
    <s v="Chat"/>
    <s v="Sofia"/>
    <x v="1"/>
    <n v="49"/>
    <n v="5"/>
  </r>
  <r>
    <s v="C-072"/>
    <s v="2025-03-31 00:00"/>
    <s v="2025-04-03 00:00"/>
    <s v="Hardware"/>
    <s v="Critica"/>
    <s v="Telefono"/>
    <s v="Ana"/>
    <x v="1"/>
    <n v="72"/>
    <n v="3"/>
  </r>
  <r>
    <s v="C-073"/>
    <s v="2025-03-12 00:00"/>
    <s v="2025-03-13 17:00"/>
    <s v="Otros"/>
    <s v="Media"/>
    <s v="Portal"/>
    <s v="Marta"/>
    <x v="1"/>
    <n v="41"/>
    <n v="1"/>
  </r>
  <r>
    <s v="C-074"/>
    <s v="2025-02-14 00:00"/>
    <s v="2025-02-15 13:00"/>
    <s v="Red"/>
    <s v="Alta"/>
    <s v="Email"/>
    <s v="Luis"/>
    <x v="1"/>
    <n v="37"/>
    <n v="1"/>
  </r>
  <r>
    <s v="C-075"/>
    <s v="2025-03-16 00:00"/>
    <s v="2025-03-16 23:00"/>
    <s v="Hardware"/>
    <s v="Media"/>
    <s v="Email"/>
    <s v="Luis"/>
    <x v="0"/>
    <n v="23"/>
    <n v="5"/>
  </r>
  <r>
    <s v="C-076"/>
    <s v="2025-01-03 00:00"/>
    <s v="2025-01-04 05:00"/>
    <s v="Otros"/>
    <s v="Critica"/>
    <s v="Telefono"/>
    <s v="Carlos"/>
    <x v="0"/>
    <n v="29"/>
    <n v="3"/>
  </r>
  <r>
    <s v="C-077"/>
    <s v="2025-03-14 00:00"/>
    <s v="2025-03-14 15:00"/>
    <s v="Software"/>
    <s v="Critica"/>
    <s v="Portal"/>
    <s v="Sofia"/>
    <x v="1"/>
    <n v="15"/>
    <n v="1"/>
  </r>
  <r>
    <s v="C-078"/>
    <s v="2025-04-11 00:00"/>
    <s v="2025-04-11 17:00"/>
    <s v="Software"/>
    <s v="Media"/>
    <s v="Telefono"/>
    <s v="Luis"/>
    <x v="2"/>
    <n v="17"/>
    <n v="2"/>
  </r>
  <r>
    <s v="C-079"/>
    <s v="2025-03-06 00:00"/>
    <s v="2025-03-06 09:00"/>
    <s v="Red"/>
    <s v="Alta"/>
    <s v="Telefono"/>
    <s v="Marta"/>
    <x v="0"/>
    <n v="9"/>
    <n v="2"/>
  </r>
  <r>
    <s v="C-080"/>
    <s v="2025-01-31 00:00"/>
    <s v="2025-02-02 13:00"/>
    <s v="Red"/>
    <s v="Alta"/>
    <s v="Email"/>
    <s v="Ana"/>
    <x v="0"/>
    <n v="61"/>
    <n v="2"/>
  </r>
  <r>
    <s v="C-081"/>
    <s v="2025-04-23 00:00"/>
    <s v="2025-04-25 11:00"/>
    <s v="Software"/>
    <s v="Alta"/>
    <s v="Telefono"/>
    <s v="Marta"/>
    <x v="2"/>
    <n v="59"/>
    <n v="2"/>
  </r>
  <r>
    <s v="C-082"/>
    <s v="2025-02-01 00:00"/>
    <s v="2025-02-02 17:00"/>
    <s v="Hardware"/>
    <s v="Media"/>
    <s v="Email"/>
    <s v="Ana"/>
    <x v="2"/>
    <n v="41"/>
    <n v="4"/>
  </r>
  <r>
    <s v="C-083"/>
    <s v="2025-03-01 00:00"/>
    <s v="2025-03-02 13:00"/>
    <s v="Otros"/>
    <s v="Baja"/>
    <s v="Chat"/>
    <s v="Ana"/>
    <x v="2"/>
    <n v="37"/>
    <n v="3"/>
  </r>
  <r>
    <s v="C-084"/>
    <s v="2025-04-08 00:00"/>
    <s v="2025-04-10 21:00"/>
    <s v="Red"/>
    <s v="Critica"/>
    <s v="Chat"/>
    <s v="Sofia"/>
    <x v="1"/>
    <n v="69"/>
    <n v="1"/>
  </r>
  <r>
    <s v="C-085"/>
    <s v="2025-04-27 00:00"/>
    <s v="2025-04-29 06:00"/>
    <s v="Software"/>
    <s v="Critica"/>
    <s v="Email"/>
    <s v="Luis"/>
    <x v="0"/>
    <n v="54"/>
    <n v="3"/>
  </r>
  <r>
    <s v="C-086"/>
    <s v="2025-01-20 00:00"/>
    <s v="2025-01-21 23:00"/>
    <s v="Red"/>
    <s v="Media"/>
    <s v="Chat"/>
    <s v="Luis"/>
    <x v="0"/>
    <n v="47"/>
    <n v="3"/>
  </r>
  <r>
    <s v="C-087"/>
    <s v="2025-03-26 00:00"/>
    <s v="2025-03-27 23:00"/>
    <s v="Software"/>
    <s v="Alta"/>
    <s v="Portal"/>
    <s v="Sofia"/>
    <x v="0"/>
    <n v="47"/>
    <n v="3"/>
  </r>
  <r>
    <s v="C-088"/>
    <s v="2025-04-02 00:00"/>
    <s v="2025-04-04 02:00"/>
    <s v="Hardware"/>
    <s v="Media"/>
    <s v="Telefono"/>
    <s v="Marta"/>
    <x v="0"/>
    <n v="50"/>
    <n v="4"/>
  </r>
  <r>
    <s v="C-089"/>
    <s v="2025-01-02 00:00"/>
    <s v="2025-01-02 07:00"/>
    <s v="Software"/>
    <s v="Critica"/>
    <s v="Portal"/>
    <s v="Luis"/>
    <x v="1"/>
    <n v="7"/>
    <n v="3"/>
  </r>
  <r>
    <s v="C-090"/>
    <s v="2025-03-30 00:00"/>
    <s v="2025-04-01 05:00"/>
    <s v="Otros"/>
    <s v="Baja"/>
    <s v="Telefono"/>
    <s v="Sofia"/>
    <x v="0"/>
    <n v="53"/>
    <n v="4"/>
  </r>
  <r>
    <s v="C-091"/>
    <s v="2025-02-08 00:00"/>
    <s v="2025-02-08 22:00"/>
    <s v="Otros"/>
    <s v="Alta"/>
    <s v="Telefono"/>
    <s v="Ana"/>
    <x v="2"/>
    <n v="22"/>
    <n v="4"/>
  </r>
  <r>
    <s v="C-092"/>
    <s v="2025-02-02 00:00"/>
    <s v="2025-02-02 04:00"/>
    <s v="Red"/>
    <s v="Media"/>
    <s v="Portal"/>
    <s v="Sofia"/>
    <x v="0"/>
    <n v="4"/>
    <n v="1"/>
  </r>
  <r>
    <s v="C-093"/>
    <s v="2025-01-06 00:00"/>
    <s v="2025-01-06 10:00"/>
    <s v="Acceso"/>
    <s v="Baja"/>
    <s v="Telefono"/>
    <s v="Carlos"/>
    <x v="0"/>
    <n v="10"/>
    <n v="5"/>
  </r>
  <r>
    <s v="C-094"/>
    <s v="2025-01-07 00:00"/>
    <s v="2025-01-08 23:00"/>
    <s v="Otros"/>
    <s v="Media"/>
    <s v="Chat"/>
    <s v="Marta"/>
    <x v="1"/>
    <n v="47"/>
    <n v="3"/>
  </r>
  <r>
    <s v="C-095"/>
    <s v="2025-03-02 00:00"/>
    <s v="2025-03-03 12:00"/>
    <s v="Acceso"/>
    <s v="Critica"/>
    <s v="Portal"/>
    <s v="Sofia"/>
    <x v="1"/>
    <n v="36"/>
    <n v="1"/>
  </r>
  <r>
    <s v="C-096"/>
    <s v="2025-02-23 00:00"/>
    <s v="2025-02-25 22:00"/>
    <s v="Software"/>
    <s v="Baja"/>
    <s v="Telefono"/>
    <s v="Luis"/>
    <x v="1"/>
    <n v="70"/>
    <n v="4"/>
  </r>
  <r>
    <s v="C-097"/>
    <s v="2025-03-27 00:00"/>
    <s v="2025-03-27 04:00"/>
    <s v="Red"/>
    <s v="Alta"/>
    <s v="Portal"/>
    <s v="Sofia"/>
    <x v="1"/>
    <n v="4"/>
    <n v="2"/>
  </r>
  <r>
    <s v="C-098"/>
    <s v="2025-02-23 00:00"/>
    <s v="2025-02-25 16:00"/>
    <s v="Otros"/>
    <s v="Media"/>
    <s v="Chat"/>
    <s v="Sofia"/>
    <x v="0"/>
    <n v="64"/>
    <n v="4"/>
  </r>
  <r>
    <s v="C-099"/>
    <s v="2025-01-14 00:00"/>
    <s v="2025-01-14 23:00"/>
    <s v="Software"/>
    <s v="Media"/>
    <s v="Chat"/>
    <s v="Carlos"/>
    <x v="1"/>
    <n v="23"/>
    <n v="1"/>
  </r>
  <r>
    <s v="C-100"/>
    <s v="2025-04-28 00:00"/>
    <s v="2025-04-29 22:00"/>
    <s v="Acceso"/>
    <s v="Media"/>
    <s v="Portal"/>
    <s v="Luis"/>
    <x v="2"/>
    <n v="46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-001"/>
    <s v="2025-02-22 00:00"/>
    <s v="2025-02-22 18:00"/>
    <s v="Red"/>
    <s v="Alta"/>
    <x v="0"/>
    <x v="0"/>
    <s v="Resuelto"/>
    <n v="18"/>
    <n v="4"/>
  </r>
  <r>
    <s v="C-002"/>
    <s v="2025-01-16 00:00"/>
    <s v="2025-01-18 11:00"/>
    <s v="Otros"/>
    <s v="Critica"/>
    <x v="0"/>
    <x v="0"/>
    <s v="Escalado"/>
    <n v="59"/>
    <n v="2"/>
  </r>
  <r>
    <s v="C-003"/>
    <s v="2025-03-14 00:00"/>
    <s v="2025-03-15 03:00"/>
    <s v="Otros"/>
    <s v="Media"/>
    <x v="1"/>
    <x v="0"/>
    <s v="Escalado"/>
    <n v="27"/>
    <n v="3"/>
  </r>
  <r>
    <s v="C-004"/>
    <s v="2025-03-25 00:00"/>
    <s v="2025-03-26 02:00"/>
    <s v="Software"/>
    <s v="Alta"/>
    <x v="0"/>
    <x v="1"/>
    <s v="Escalado"/>
    <n v="26"/>
    <n v="3"/>
  </r>
  <r>
    <s v="C-005"/>
    <s v="2025-02-07 00:00"/>
    <s v="2025-02-07 18:00"/>
    <s v="Software"/>
    <s v="Baja"/>
    <x v="1"/>
    <x v="1"/>
    <s v="Escalado"/>
    <n v="18"/>
    <n v="1"/>
  </r>
  <r>
    <s v="C-006"/>
    <s v="2025-03-24 00:00"/>
    <s v="2025-03-25 02:00"/>
    <s v="Red"/>
    <s v="Baja"/>
    <x v="0"/>
    <x v="2"/>
    <s v="Resuelto"/>
    <n v="26"/>
    <n v="1"/>
  </r>
  <r>
    <s v="C-007"/>
    <s v="2025-04-11 00:00"/>
    <s v="2025-04-11 04:00"/>
    <s v="Software"/>
    <s v="Baja"/>
    <x v="2"/>
    <x v="3"/>
    <s v="Cerrado"/>
    <n v="4"/>
    <n v="3"/>
  </r>
  <r>
    <s v="C-008"/>
    <s v="2025-01-14 00:00"/>
    <s v="2025-01-15 23:00"/>
    <s v="Hardware"/>
    <s v="Critica"/>
    <x v="3"/>
    <x v="1"/>
    <s v="Resuelto"/>
    <n v="47"/>
    <n v="1"/>
  </r>
  <r>
    <s v="C-009"/>
    <s v="2025-03-09 00:00"/>
    <s v="2025-03-09 14:00"/>
    <s v="Hardware"/>
    <s v="Critica"/>
    <x v="0"/>
    <x v="0"/>
    <s v="Escalado"/>
    <n v="14"/>
    <n v="4"/>
  </r>
  <r>
    <s v="C-010"/>
    <s v="2025-03-24 00:00"/>
    <s v="2025-03-24 18:00"/>
    <s v="Acceso"/>
    <s v="Media"/>
    <x v="1"/>
    <x v="1"/>
    <s v="Resuelto"/>
    <n v="18"/>
    <n v="1"/>
  </r>
  <r>
    <s v="C-011"/>
    <s v="2025-04-13 00:00"/>
    <s v="2025-04-14 20:00"/>
    <s v="Red"/>
    <s v="Media"/>
    <x v="0"/>
    <x v="4"/>
    <s v="Resuelto"/>
    <n v="44"/>
    <n v="4"/>
  </r>
  <r>
    <s v="C-012"/>
    <s v="2025-02-19 00:00"/>
    <s v="2025-02-21 00:00"/>
    <s v="Software"/>
    <s v="Alta"/>
    <x v="0"/>
    <x v="1"/>
    <s v="Resuelto"/>
    <n v="48"/>
    <n v="3"/>
  </r>
  <r>
    <s v="C-013"/>
    <s v="2025-02-06 00:00"/>
    <s v="2025-02-08 10:00"/>
    <s v="Software"/>
    <s v="Critica"/>
    <x v="3"/>
    <x v="0"/>
    <s v="Escalado"/>
    <n v="58"/>
    <n v="3"/>
  </r>
  <r>
    <s v="C-014"/>
    <s v="2025-02-20 00:00"/>
    <s v="2025-02-21 10:00"/>
    <s v="Hardware"/>
    <s v="Alta"/>
    <x v="3"/>
    <x v="2"/>
    <s v="Escalado"/>
    <n v="34"/>
    <n v="3"/>
  </r>
  <r>
    <s v="C-015"/>
    <s v="2025-02-19 00:00"/>
    <s v="2025-02-21 17:00"/>
    <s v="Acceso"/>
    <s v="Media"/>
    <x v="1"/>
    <x v="1"/>
    <s v="Escalado"/>
    <n v="65"/>
    <n v="1"/>
  </r>
  <r>
    <s v="C-016"/>
    <s v="2025-04-15 00:00"/>
    <s v="2025-04-16 19:00"/>
    <s v="Otros"/>
    <s v="Alta"/>
    <x v="3"/>
    <x v="2"/>
    <s v="Escalado"/>
    <n v="43"/>
    <n v="5"/>
  </r>
  <r>
    <s v="C-017"/>
    <s v="2025-04-14 00:00"/>
    <s v="2025-04-14 22:00"/>
    <s v="Acceso"/>
    <s v="Critica"/>
    <x v="0"/>
    <x v="4"/>
    <s v="Cerrado"/>
    <n v="22"/>
    <n v="3"/>
  </r>
  <r>
    <s v="C-018"/>
    <s v="2025-04-12 00:00"/>
    <s v="2025-04-13 14:00"/>
    <s v="Acceso"/>
    <s v="Baja"/>
    <x v="1"/>
    <x v="1"/>
    <s v="Cerrado"/>
    <n v="38"/>
    <n v="4"/>
  </r>
  <r>
    <s v="C-019"/>
    <s v="2025-01-28 00:00"/>
    <s v="2025-01-29 12:00"/>
    <s v="Red"/>
    <s v="Alta"/>
    <x v="0"/>
    <x v="2"/>
    <s v="Resuelto"/>
    <n v="36"/>
    <n v="5"/>
  </r>
  <r>
    <s v="C-020"/>
    <s v="2025-02-06 00:00"/>
    <s v="2025-02-07 10:00"/>
    <s v="Acceso"/>
    <s v="Alta"/>
    <x v="3"/>
    <x v="1"/>
    <s v="Cerrado"/>
    <n v="34"/>
    <n v="4"/>
  </r>
  <r>
    <s v="C-021"/>
    <s v="2025-02-07 00:00"/>
    <s v="2025-02-07 08:00"/>
    <s v="Acceso"/>
    <s v="Media"/>
    <x v="1"/>
    <x v="0"/>
    <s v="Escalado"/>
    <n v="8"/>
    <n v="4"/>
  </r>
  <r>
    <s v="C-022"/>
    <s v="2025-01-15 00:00"/>
    <s v="2025-01-16 06:00"/>
    <s v="Otros"/>
    <s v="Media"/>
    <x v="0"/>
    <x v="1"/>
    <s v="Cerrado"/>
    <n v="30"/>
    <n v="2"/>
  </r>
  <r>
    <s v="C-023"/>
    <s v="2025-02-07 00:00"/>
    <s v="2025-02-07 11:00"/>
    <s v="Otros"/>
    <s v="Media"/>
    <x v="0"/>
    <x v="4"/>
    <s v="Escalado"/>
    <n v="11"/>
    <n v="1"/>
  </r>
  <r>
    <s v="C-024"/>
    <s v="2025-01-07 00:00"/>
    <s v="2025-01-07 12:00"/>
    <s v="Red"/>
    <s v="Alta"/>
    <x v="0"/>
    <x v="3"/>
    <s v="Cerrado"/>
    <n v="12"/>
    <n v="5"/>
  </r>
  <r>
    <s v="C-025"/>
    <s v="2025-04-02 00:00"/>
    <s v="2025-04-03 14:00"/>
    <s v="Software"/>
    <s v="Alta"/>
    <x v="2"/>
    <x v="1"/>
    <s v="Escalado"/>
    <n v="38"/>
    <n v="4"/>
  </r>
  <r>
    <s v="C-026"/>
    <s v="2025-01-16 00:00"/>
    <s v="2025-01-16 20:00"/>
    <s v="Acceso"/>
    <s v="Critica"/>
    <x v="1"/>
    <x v="3"/>
    <s v="Resuelto"/>
    <n v="20"/>
    <n v="2"/>
  </r>
  <r>
    <s v="C-027"/>
    <s v="2025-01-12 00:00"/>
    <s v="2025-01-12 09:00"/>
    <s v="Software"/>
    <s v="Alta"/>
    <x v="1"/>
    <x v="1"/>
    <s v="Escalado"/>
    <n v="9"/>
    <n v="5"/>
  </r>
  <r>
    <s v="C-028"/>
    <s v="2025-03-21 00:00"/>
    <s v="2025-03-22 22:00"/>
    <s v="Otros"/>
    <s v="Critica"/>
    <x v="1"/>
    <x v="0"/>
    <s v="Escalado"/>
    <n v="46"/>
    <n v="1"/>
  </r>
  <r>
    <s v="C-029"/>
    <s v="2025-03-24 00:00"/>
    <s v="2025-03-24 12:00"/>
    <s v="Acceso"/>
    <s v="Baja"/>
    <x v="0"/>
    <x v="1"/>
    <s v="Escalado"/>
    <n v="12"/>
    <n v="3"/>
  </r>
  <r>
    <s v="C-030"/>
    <s v="2025-04-24 00:00"/>
    <s v="2025-04-24 12:00"/>
    <s v="Software"/>
    <s v="Critica"/>
    <x v="2"/>
    <x v="2"/>
    <s v="Cerrado"/>
    <n v="12"/>
    <n v="5"/>
  </r>
  <r>
    <s v="C-031"/>
    <s v="2025-04-11 00:00"/>
    <s v="2025-04-13 23:00"/>
    <s v="Otros"/>
    <s v="Media"/>
    <x v="3"/>
    <x v="2"/>
    <s v="Escalado"/>
    <n v="71"/>
    <n v="2"/>
  </r>
  <r>
    <s v="C-032"/>
    <s v="2025-02-21 00:00"/>
    <s v="2025-02-21 16:00"/>
    <s v="Otros"/>
    <s v="Media"/>
    <x v="1"/>
    <x v="0"/>
    <s v="Resuelto"/>
    <n v="16"/>
    <n v="4"/>
  </r>
  <r>
    <s v="C-033"/>
    <s v="2025-01-07 00:00"/>
    <s v="2025-01-08 16:00"/>
    <s v="Acceso"/>
    <s v="Alta"/>
    <x v="2"/>
    <x v="1"/>
    <s v="Resuelto"/>
    <n v="40"/>
    <n v="3"/>
  </r>
  <r>
    <s v="C-034"/>
    <s v="2025-01-25 00:00"/>
    <s v="2025-01-26 17:00"/>
    <s v="Acceso"/>
    <s v="Alta"/>
    <x v="0"/>
    <x v="0"/>
    <s v="Cerrado"/>
    <n v="41"/>
    <n v="3"/>
  </r>
  <r>
    <s v="C-035"/>
    <s v="2025-02-13 00:00"/>
    <s v="2025-02-13 03:00"/>
    <s v="Acceso"/>
    <s v="Alta"/>
    <x v="1"/>
    <x v="1"/>
    <s v="Cerrado"/>
    <n v="3"/>
    <n v="4"/>
  </r>
  <r>
    <s v="C-036"/>
    <s v="2025-01-17 00:00"/>
    <s v="2025-01-17 17:00"/>
    <s v="Red"/>
    <s v="Baja"/>
    <x v="1"/>
    <x v="3"/>
    <s v="Cerrado"/>
    <n v="17"/>
    <n v="4"/>
  </r>
  <r>
    <s v="C-037"/>
    <s v="2025-03-10 00:00"/>
    <s v="2025-03-10 09:00"/>
    <s v="Hardware"/>
    <s v="Baja"/>
    <x v="1"/>
    <x v="2"/>
    <s v="Resuelto"/>
    <n v="9"/>
    <n v="3"/>
  </r>
  <r>
    <s v="C-038"/>
    <s v="2025-02-26 00:00"/>
    <s v="2025-02-28 03:00"/>
    <s v="Hardware"/>
    <s v="Media"/>
    <x v="2"/>
    <x v="3"/>
    <s v="Escalado"/>
    <n v="51"/>
    <n v="3"/>
  </r>
  <r>
    <s v="C-039"/>
    <s v="2025-02-22 00:00"/>
    <s v="2025-02-22 06:00"/>
    <s v="Acceso"/>
    <s v="Baja"/>
    <x v="1"/>
    <x v="0"/>
    <s v="Resuelto"/>
    <n v="6"/>
    <n v="2"/>
  </r>
  <r>
    <s v="C-040"/>
    <s v="2025-03-12 00:00"/>
    <s v="2025-03-13 23:00"/>
    <s v="Red"/>
    <s v="Baja"/>
    <x v="2"/>
    <x v="1"/>
    <s v="Resuelto"/>
    <n v="47"/>
    <n v="3"/>
  </r>
  <r>
    <s v="C-041"/>
    <s v="2025-01-05 00:00"/>
    <s v="2025-01-07 13:00"/>
    <s v="Otros"/>
    <s v="Baja"/>
    <x v="0"/>
    <x v="2"/>
    <s v="Cerrado"/>
    <n v="61"/>
    <n v="3"/>
  </r>
  <r>
    <s v="C-042"/>
    <s v="2025-03-02 00:00"/>
    <s v="2025-03-03 05:00"/>
    <s v="Otros"/>
    <s v="Critica"/>
    <x v="2"/>
    <x v="4"/>
    <s v="Cerrado"/>
    <n v="29"/>
    <n v="3"/>
  </r>
  <r>
    <s v="C-043"/>
    <s v="2025-02-24 00:00"/>
    <s v="2025-02-24 09:00"/>
    <s v="Red"/>
    <s v="Media"/>
    <x v="3"/>
    <x v="4"/>
    <s v="Escalado"/>
    <n v="9"/>
    <n v="2"/>
  </r>
  <r>
    <s v="C-044"/>
    <s v="2025-02-01 00:00"/>
    <s v="2025-02-03 13:00"/>
    <s v="Hardware"/>
    <s v="Alta"/>
    <x v="3"/>
    <x v="4"/>
    <s v="Cerrado"/>
    <n v="61"/>
    <n v="1"/>
  </r>
  <r>
    <s v="C-045"/>
    <s v="2025-04-11 00:00"/>
    <s v="2025-04-11 05:00"/>
    <s v="Software"/>
    <s v="Baja"/>
    <x v="0"/>
    <x v="3"/>
    <s v="Cerrado"/>
    <n v="5"/>
    <n v="2"/>
  </r>
  <r>
    <s v="C-046"/>
    <s v="2025-03-02 00:00"/>
    <s v="2025-03-02 23:00"/>
    <s v="Acceso"/>
    <s v="Alta"/>
    <x v="0"/>
    <x v="1"/>
    <s v="Cerrado"/>
    <n v="23"/>
    <n v="1"/>
  </r>
  <r>
    <s v="C-047"/>
    <s v="2025-03-31 00:00"/>
    <s v="2025-03-31 10:00"/>
    <s v="Acceso"/>
    <s v="Critica"/>
    <x v="2"/>
    <x v="4"/>
    <s v="Resuelto"/>
    <n v="10"/>
    <n v="2"/>
  </r>
  <r>
    <s v="C-048"/>
    <s v="2025-02-28 00:00"/>
    <s v="2025-03-02 23:00"/>
    <s v="Red"/>
    <s v="Alta"/>
    <x v="3"/>
    <x v="3"/>
    <s v="Cerrado"/>
    <n v="71"/>
    <n v="5"/>
  </r>
  <r>
    <s v="C-049"/>
    <s v="2025-01-29 00:00"/>
    <s v="2025-01-30 11:00"/>
    <s v="Otros"/>
    <s v="Media"/>
    <x v="0"/>
    <x v="0"/>
    <s v="Escalado"/>
    <n v="35"/>
    <n v="5"/>
  </r>
  <r>
    <s v="C-050"/>
    <s v="2025-04-07 00:00"/>
    <s v="2025-04-09 00:00"/>
    <s v="Acceso"/>
    <s v="Alta"/>
    <x v="3"/>
    <x v="3"/>
    <s v="Cerrado"/>
    <n v="48"/>
    <n v="3"/>
  </r>
  <r>
    <s v="C-051"/>
    <s v="2025-03-09 00:00"/>
    <s v="2025-03-11 15:00"/>
    <s v="Otros"/>
    <s v="Critica"/>
    <x v="2"/>
    <x v="1"/>
    <s v="Escalado"/>
    <n v="63"/>
    <n v="2"/>
  </r>
  <r>
    <s v="C-052"/>
    <s v="2025-02-05 00:00"/>
    <s v="2025-02-05 16:00"/>
    <s v="Otros"/>
    <s v="Critica"/>
    <x v="0"/>
    <x v="0"/>
    <s v="Escalado"/>
    <n v="16"/>
    <n v="3"/>
  </r>
  <r>
    <s v="C-053"/>
    <s v="2025-03-06 00:00"/>
    <s v="2025-03-07 21:00"/>
    <s v="Hardware"/>
    <s v="Baja"/>
    <x v="2"/>
    <x v="3"/>
    <s v="Resuelto"/>
    <n v="45"/>
    <n v="3"/>
  </r>
  <r>
    <s v="C-054"/>
    <s v="2025-04-13 00:00"/>
    <s v="2025-04-13 05:00"/>
    <s v="Hardware"/>
    <s v="Media"/>
    <x v="0"/>
    <x v="1"/>
    <s v="Resuelto"/>
    <n v="5"/>
    <n v="2"/>
  </r>
  <r>
    <s v="C-055"/>
    <s v="2025-02-01 00:00"/>
    <s v="2025-02-01 05:00"/>
    <s v="Red"/>
    <s v="Alta"/>
    <x v="2"/>
    <x v="3"/>
    <s v="Resuelto"/>
    <n v="5"/>
    <n v="5"/>
  </r>
  <r>
    <s v="C-056"/>
    <s v="2025-01-26 00:00"/>
    <s v="2025-01-27 07:00"/>
    <s v="Otros"/>
    <s v="Media"/>
    <x v="0"/>
    <x v="2"/>
    <s v="Resuelto"/>
    <n v="31"/>
    <n v="5"/>
  </r>
  <r>
    <s v="C-057"/>
    <s v="2025-02-23 00:00"/>
    <s v="2025-02-23 16:00"/>
    <s v="Acceso"/>
    <s v="Alta"/>
    <x v="0"/>
    <x v="1"/>
    <s v="Resuelto"/>
    <n v="16"/>
    <n v="1"/>
  </r>
  <r>
    <s v="C-058"/>
    <s v="2025-02-21 00:00"/>
    <s v="2025-02-23 09:00"/>
    <s v="Otros"/>
    <s v="Baja"/>
    <x v="1"/>
    <x v="3"/>
    <s v="Cerrado"/>
    <n v="57"/>
    <n v="4"/>
  </r>
  <r>
    <s v="C-059"/>
    <s v="2025-04-18 00:00"/>
    <s v="2025-04-19 14:00"/>
    <s v="Hardware"/>
    <s v="Alta"/>
    <x v="2"/>
    <x v="0"/>
    <s v="Cerrado"/>
    <n v="38"/>
    <n v="2"/>
  </r>
  <r>
    <s v="C-060"/>
    <s v="2025-03-28 00:00"/>
    <s v="2025-03-29 11:00"/>
    <s v="Software"/>
    <s v="Alta"/>
    <x v="0"/>
    <x v="3"/>
    <s v="Escalado"/>
    <n v="35"/>
    <n v="1"/>
  </r>
  <r>
    <s v="C-061"/>
    <s v="2025-02-26 00:00"/>
    <s v="2025-02-26 12:00"/>
    <s v="Otros"/>
    <s v="Media"/>
    <x v="1"/>
    <x v="4"/>
    <s v="Escalado"/>
    <n v="12"/>
    <n v="1"/>
  </r>
  <r>
    <s v="C-062"/>
    <s v="2025-04-30 00:00"/>
    <s v="2025-05-02 00:00"/>
    <s v="Hardware"/>
    <s v="Baja"/>
    <x v="0"/>
    <x v="4"/>
    <s v="Resuelto"/>
    <n v="48"/>
    <n v="5"/>
  </r>
  <r>
    <s v="C-063"/>
    <s v="2025-01-10 00:00"/>
    <s v="2025-01-10 23:00"/>
    <s v="Otros"/>
    <s v="Alta"/>
    <x v="3"/>
    <x v="0"/>
    <s v="Cerrado"/>
    <n v="23"/>
    <n v="1"/>
  </r>
  <r>
    <s v="C-064"/>
    <s v="2025-03-21 00:00"/>
    <s v="2025-03-23 05:00"/>
    <s v="Software"/>
    <s v="Alta"/>
    <x v="1"/>
    <x v="1"/>
    <s v="Escalado"/>
    <n v="53"/>
    <n v="3"/>
  </r>
  <r>
    <s v="C-065"/>
    <s v="2025-02-19 00:00"/>
    <s v="2025-02-20 16:00"/>
    <s v="Acceso"/>
    <s v="Critica"/>
    <x v="3"/>
    <x v="1"/>
    <s v="Resuelto"/>
    <n v="40"/>
    <n v="5"/>
  </r>
  <r>
    <s v="C-066"/>
    <s v="2025-01-31 00:00"/>
    <s v="2025-02-02 11:00"/>
    <s v="Acceso"/>
    <s v="Alta"/>
    <x v="2"/>
    <x v="4"/>
    <s v="Resuelto"/>
    <n v="59"/>
    <n v="2"/>
  </r>
  <r>
    <s v="C-067"/>
    <s v="2025-04-22 00:00"/>
    <s v="2025-04-23 17:00"/>
    <s v="Hardware"/>
    <s v="Critica"/>
    <x v="2"/>
    <x v="1"/>
    <s v="Cerrado"/>
    <n v="41"/>
    <n v="5"/>
  </r>
  <r>
    <s v="C-068"/>
    <s v="2025-04-27 00:00"/>
    <s v="2025-04-29 20:00"/>
    <s v="Software"/>
    <s v="Baja"/>
    <x v="0"/>
    <x v="4"/>
    <s v="Escalado"/>
    <n v="68"/>
    <n v="5"/>
  </r>
  <r>
    <s v="C-069"/>
    <s v="2025-04-27 00:00"/>
    <s v="2025-04-27 23:00"/>
    <s v="Acceso"/>
    <s v="Alta"/>
    <x v="3"/>
    <x v="4"/>
    <s v="Escalado"/>
    <n v="23"/>
    <n v="5"/>
  </r>
  <r>
    <s v="C-070"/>
    <s v="2025-01-26 00:00"/>
    <s v="2025-01-28 03:00"/>
    <s v="Otros"/>
    <s v="Media"/>
    <x v="3"/>
    <x v="3"/>
    <s v="Resuelto"/>
    <n v="51"/>
    <n v="3"/>
  </r>
  <r>
    <s v="C-071"/>
    <s v="2025-04-12 00:00"/>
    <s v="2025-04-14 01:00"/>
    <s v="Software"/>
    <s v="Critica"/>
    <x v="2"/>
    <x v="2"/>
    <s v="Escalado"/>
    <n v="49"/>
    <n v="5"/>
  </r>
  <r>
    <s v="C-072"/>
    <s v="2025-03-31 00:00"/>
    <s v="2025-04-03 00:00"/>
    <s v="Hardware"/>
    <s v="Critica"/>
    <x v="3"/>
    <x v="3"/>
    <s v="Escalado"/>
    <n v="72"/>
    <n v="3"/>
  </r>
  <r>
    <s v="C-073"/>
    <s v="2025-03-12 00:00"/>
    <s v="2025-03-13 17:00"/>
    <s v="Otros"/>
    <s v="Media"/>
    <x v="0"/>
    <x v="0"/>
    <s v="Escalado"/>
    <n v="41"/>
    <n v="1"/>
  </r>
  <r>
    <s v="C-074"/>
    <s v="2025-02-14 00:00"/>
    <s v="2025-02-15 13:00"/>
    <s v="Red"/>
    <s v="Alta"/>
    <x v="1"/>
    <x v="4"/>
    <s v="Escalado"/>
    <n v="37"/>
    <n v="1"/>
  </r>
  <r>
    <s v="C-075"/>
    <s v="2025-03-16 00:00"/>
    <s v="2025-03-16 23:00"/>
    <s v="Hardware"/>
    <s v="Media"/>
    <x v="1"/>
    <x v="4"/>
    <s v="Resuelto"/>
    <n v="23"/>
    <n v="5"/>
  </r>
  <r>
    <s v="C-076"/>
    <s v="2025-01-03 00:00"/>
    <s v="2025-01-04 05:00"/>
    <s v="Otros"/>
    <s v="Critica"/>
    <x v="3"/>
    <x v="1"/>
    <s v="Resuelto"/>
    <n v="29"/>
    <n v="3"/>
  </r>
  <r>
    <s v="C-077"/>
    <s v="2025-03-14 00:00"/>
    <s v="2025-03-14 15:00"/>
    <s v="Software"/>
    <s v="Critica"/>
    <x v="0"/>
    <x v="2"/>
    <s v="Escalado"/>
    <n v="15"/>
    <n v="1"/>
  </r>
  <r>
    <s v="C-078"/>
    <s v="2025-04-11 00:00"/>
    <s v="2025-04-11 17:00"/>
    <s v="Software"/>
    <s v="Media"/>
    <x v="3"/>
    <x v="4"/>
    <s v="Cerrado"/>
    <n v="17"/>
    <n v="2"/>
  </r>
  <r>
    <s v="C-079"/>
    <s v="2025-03-06 00:00"/>
    <s v="2025-03-06 09:00"/>
    <s v="Red"/>
    <s v="Alta"/>
    <x v="3"/>
    <x v="0"/>
    <s v="Resuelto"/>
    <n v="9"/>
    <n v="2"/>
  </r>
  <r>
    <s v="C-080"/>
    <s v="2025-01-31 00:00"/>
    <s v="2025-02-02 13:00"/>
    <s v="Red"/>
    <s v="Alta"/>
    <x v="1"/>
    <x v="3"/>
    <s v="Resuelto"/>
    <n v="61"/>
    <n v="2"/>
  </r>
  <r>
    <s v="C-081"/>
    <s v="2025-04-23 00:00"/>
    <s v="2025-04-25 11:00"/>
    <s v="Software"/>
    <s v="Alta"/>
    <x v="3"/>
    <x v="0"/>
    <s v="Cerrado"/>
    <n v="59"/>
    <n v="2"/>
  </r>
  <r>
    <s v="C-082"/>
    <s v="2025-02-01 00:00"/>
    <s v="2025-02-02 17:00"/>
    <s v="Hardware"/>
    <s v="Media"/>
    <x v="1"/>
    <x v="3"/>
    <s v="Cerrado"/>
    <n v="41"/>
    <n v="4"/>
  </r>
  <r>
    <s v="C-083"/>
    <s v="2025-03-01 00:00"/>
    <s v="2025-03-02 13:00"/>
    <s v="Otros"/>
    <s v="Baja"/>
    <x v="2"/>
    <x v="3"/>
    <s v="Cerrado"/>
    <n v="37"/>
    <n v="3"/>
  </r>
  <r>
    <s v="C-084"/>
    <s v="2025-04-08 00:00"/>
    <s v="2025-04-10 21:00"/>
    <s v="Red"/>
    <s v="Critica"/>
    <x v="2"/>
    <x v="2"/>
    <s v="Escalado"/>
    <n v="69"/>
    <n v="1"/>
  </r>
  <r>
    <s v="C-085"/>
    <s v="2025-04-27 00:00"/>
    <s v="2025-04-29 06:00"/>
    <s v="Software"/>
    <s v="Critica"/>
    <x v="1"/>
    <x v="4"/>
    <s v="Resuelto"/>
    <n v="54"/>
    <n v="3"/>
  </r>
  <r>
    <s v="C-086"/>
    <s v="2025-01-20 00:00"/>
    <s v="2025-01-21 23:00"/>
    <s v="Red"/>
    <s v="Media"/>
    <x v="2"/>
    <x v="4"/>
    <s v="Resuelto"/>
    <n v="47"/>
    <n v="3"/>
  </r>
  <r>
    <s v="C-087"/>
    <s v="2025-03-26 00:00"/>
    <s v="2025-03-27 23:00"/>
    <s v="Software"/>
    <s v="Alta"/>
    <x v="0"/>
    <x v="2"/>
    <s v="Resuelto"/>
    <n v="47"/>
    <n v="3"/>
  </r>
  <r>
    <s v="C-088"/>
    <s v="2025-04-02 00:00"/>
    <s v="2025-04-04 02:00"/>
    <s v="Hardware"/>
    <s v="Media"/>
    <x v="3"/>
    <x v="0"/>
    <s v="Resuelto"/>
    <n v="50"/>
    <n v="4"/>
  </r>
  <r>
    <s v="C-089"/>
    <s v="2025-01-02 00:00"/>
    <s v="2025-01-02 07:00"/>
    <s v="Software"/>
    <s v="Critica"/>
    <x v="0"/>
    <x v="4"/>
    <s v="Escalado"/>
    <n v="7"/>
    <n v="3"/>
  </r>
  <r>
    <s v="C-090"/>
    <s v="2025-03-30 00:00"/>
    <s v="2025-04-01 05:00"/>
    <s v="Otros"/>
    <s v="Baja"/>
    <x v="3"/>
    <x v="2"/>
    <s v="Resuelto"/>
    <n v="53"/>
    <n v="4"/>
  </r>
  <r>
    <s v="C-091"/>
    <s v="2025-02-08 00:00"/>
    <s v="2025-02-08 22:00"/>
    <s v="Otros"/>
    <s v="Alta"/>
    <x v="3"/>
    <x v="3"/>
    <s v="Cerrado"/>
    <n v="22"/>
    <n v="4"/>
  </r>
  <r>
    <s v="C-092"/>
    <s v="2025-02-02 00:00"/>
    <s v="2025-02-02 04:00"/>
    <s v="Red"/>
    <s v="Media"/>
    <x v="0"/>
    <x v="2"/>
    <s v="Resuelto"/>
    <n v="4"/>
    <n v="1"/>
  </r>
  <r>
    <s v="C-093"/>
    <s v="2025-01-06 00:00"/>
    <s v="2025-01-06 10:00"/>
    <s v="Acceso"/>
    <s v="Baja"/>
    <x v="3"/>
    <x v="1"/>
    <s v="Resuelto"/>
    <n v="10"/>
    <n v="5"/>
  </r>
  <r>
    <s v="C-094"/>
    <s v="2025-01-07 00:00"/>
    <s v="2025-01-08 23:00"/>
    <s v="Otros"/>
    <s v="Media"/>
    <x v="2"/>
    <x v="0"/>
    <s v="Escalado"/>
    <n v="47"/>
    <n v="3"/>
  </r>
  <r>
    <s v="C-095"/>
    <s v="2025-03-02 00:00"/>
    <s v="2025-03-03 12:00"/>
    <s v="Acceso"/>
    <s v="Critica"/>
    <x v="0"/>
    <x v="2"/>
    <s v="Escalado"/>
    <n v="36"/>
    <n v="1"/>
  </r>
  <r>
    <s v="C-096"/>
    <s v="2025-02-23 00:00"/>
    <s v="2025-02-25 22:00"/>
    <s v="Software"/>
    <s v="Baja"/>
    <x v="3"/>
    <x v="4"/>
    <s v="Escalado"/>
    <n v="70"/>
    <n v="4"/>
  </r>
  <r>
    <s v="C-097"/>
    <s v="2025-03-27 00:00"/>
    <s v="2025-03-27 04:00"/>
    <s v="Red"/>
    <s v="Alta"/>
    <x v="0"/>
    <x v="2"/>
    <s v="Escalado"/>
    <n v="4"/>
    <n v="2"/>
  </r>
  <r>
    <s v="C-098"/>
    <s v="2025-02-23 00:00"/>
    <s v="2025-02-25 16:00"/>
    <s v="Otros"/>
    <s v="Media"/>
    <x v="2"/>
    <x v="2"/>
    <s v="Resuelto"/>
    <n v="64"/>
    <n v="4"/>
  </r>
  <r>
    <s v="C-099"/>
    <s v="2025-01-14 00:00"/>
    <s v="2025-01-14 23:00"/>
    <s v="Software"/>
    <s v="Media"/>
    <x v="2"/>
    <x v="1"/>
    <s v="Escalado"/>
    <n v="23"/>
    <n v="1"/>
  </r>
  <r>
    <s v="C-100"/>
    <s v="2025-04-28 00:00"/>
    <s v="2025-04-29 22:00"/>
    <s v="Acceso"/>
    <s v="Media"/>
    <x v="0"/>
    <x v="4"/>
    <s v="Cerrado"/>
    <n v="46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10F31-8AE6-4432-B36A-6A64999615B5}" name="TablaDinámica15" cacheId="3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">
  <location ref="A3:B8" firstHeaderRow="1" firstDataRow="1" firstDataCol="1"/>
  <pivotFields count="10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3"/>
        <item x="1"/>
        <item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ase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905E4-5EDA-475C-B511-8C21A3616062}" name="TablaDinámica18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Tiempo_Resolucion_Hora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FDD184-FF4A-44D3-AFA3-E294E29EE2CD}" name="Tabla dinámica1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F9" firstHeaderRow="1" firstDataRow="2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6">
        <item x="3"/>
        <item x="1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</pivotFields>
  <rowFields count="1">
    <field x="6"/>
  </rowFields>
  <rowItems count="6">
    <i>
      <x v="4"/>
    </i>
    <i>
      <x/>
    </i>
    <i>
      <x v="2"/>
    </i>
    <i>
      <x v="3"/>
    </i>
    <i>
      <x v="1"/>
    </i>
    <i t="grand">
      <x/>
    </i>
  </rowItems>
  <colFields count="1">
    <field x="5"/>
  </colFields>
  <colItems count="5">
    <i>
      <x v="3"/>
    </i>
    <i>
      <x/>
    </i>
    <i>
      <x v="1"/>
    </i>
    <i>
      <x v="2"/>
    </i>
    <i t="grand">
      <x/>
    </i>
  </colItems>
  <dataFields count="1">
    <dataField name="Promedio de Tiempo_Resolucion_Horas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selection sqref="A1:J101"/>
    </sheetView>
  </sheetViews>
  <sheetFormatPr baseColWidth="10" defaultColWidth="8.7265625" defaultRowHeight="14.5" x14ac:dyDescent="0.35"/>
  <cols>
    <col min="1" max="1" width="7.54296875" bestFit="1" customWidth="1"/>
    <col min="2" max="3" width="15.08984375" bestFit="1" customWidth="1"/>
    <col min="4" max="4" width="9.08984375" bestFit="1" customWidth="1"/>
    <col min="5" max="5" width="8.453125" bestFit="1" customWidth="1"/>
    <col min="6" max="6" width="8.1796875" bestFit="1" customWidth="1"/>
    <col min="7" max="7" width="6.6328125" bestFit="1" customWidth="1"/>
    <col min="8" max="8" width="8.08984375" bestFit="1" customWidth="1"/>
    <col min="9" max="9" width="23.1796875" bestFit="1" customWidth="1"/>
    <col min="10" max="10" width="17.36328125" bestFit="1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18</v>
      </c>
      <c r="J2">
        <v>4</v>
      </c>
    </row>
    <row r="3" spans="1:10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 t="s">
        <v>16</v>
      </c>
      <c r="H3" t="s">
        <v>23</v>
      </c>
      <c r="I3">
        <v>59</v>
      </c>
      <c r="J3">
        <v>2</v>
      </c>
    </row>
    <row r="4" spans="1:10" x14ac:dyDescent="0.35">
      <c r="A4" t="s">
        <v>24</v>
      </c>
      <c r="B4" t="s">
        <v>25</v>
      </c>
      <c r="C4" t="s">
        <v>26</v>
      </c>
      <c r="D4" t="s">
        <v>21</v>
      </c>
      <c r="E4" t="s">
        <v>27</v>
      </c>
      <c r="F4" t="s">
        <v>28</v>
      </c>
      <c r="G4" t="s">
        <v>16</v>
      </c>
      <c r="H4" t="s">
        <v>23</v>
      </c>
      <c r="I4">
        <v>27</v>
      </c>
      <c r="J4">
        <v>3</v>
      </c>
    </row>
    <row r="5" spans="1:10" x14ac:dyDescent="0.35">
      <c r="A5" t="s">
        <v>29</v>
      </c>
      <c r="B5" t="s">
        <v>30</v>
      </c>
      <c r="C5" t="s">
        <v>31</v>
      </c>
      <c r="D5" t="s">
        <v>32</v>
      </c>
      <c r="E5" t="s">
        <v>14</v>
      </c>
      <c r="F5" t="s">
        <v>15</v>
      </c>
      <c r="G5" t="s">
        <v>33</v>
      </c>
      <c r="H5" t="s">
        <v>23</v>
      </c>
      <c r="I5">
        <v>26</v>
      </c>
      <c r="J5">
        <v>3</v>
      </c>
    </row>
    <row r="6" spans="1:10" x14ac:dyDescent="0.35">
      <c r="A6" t="s">
        <v>34</v>
      </c>
      <c r="B6" t="s">
        <v>35</v>
      </c>
      <c r="C6" t="s">
        <v>36</v>
      </c>
      <c r="D6" t="s">
        <v>32</v>
      </c>
      <c r="E6" t="s">
        <v>37</v>
      </c>
      <c r="F6" t="s">
        <v>28</v>
      </c>
      <c r="G6" t="s">
        <v>33</v>
      </c>
      <c r="H6" t="s">
        <v>23</v>
      </c>
      <c r="I6">
        <v>18</v>
      </c>
      <c r="J6">
        <v>1</v>
      </c>
    </row>
    <row r="7" spans="1:10" x14ac:dyDescent="0.35">
      <c r="A7" t="s">
        <v>38</v>
      </c>
      <c r="B7" t="s">
        <v>39</v>
      </c>
      <c r="C7" t="s">
        <v>40</v>
      </c>
      <c r="D7" t="s">
        <v>13</v>
      </c>
      <c r="E7" t="s">
        <v>37</v>
      </c>
      <c r="F7" t="s">
        <v>15</v>
      </c>
      <c r="G7" t="s">
        <v>41</v>
      </c>
      <c r="H7" t="s">
        <v>17</v>
      </c>
      <c r="I7">
        <v>26</v>
      </c>
      <c r="J7">
        <v>1</v>
      </c>
    </row>
    <row r="8" spans="1:10" x14ac:dyDescent="0.35">
      <c r="A8" t="s">
        <v>42</v>
      </c>
      <c r="B8" t="s">
        <v>43</v>
      </c>
      <c r="C8" t="s">
        <v>44</v>
      </c>
      <c r="D8" t="s">
        <v>32</v>
      </c>
      <c r="E8" t="s">
        <v>37</v>
      </c>
      <c r="F8" t="s">
        <v>45</v>
      </c>
      <c r="G8" t="s">
        <v>46</v>
      </c>
      <c r="H8" t="s">
        <v>47</v>
      </c>
      <c r="I8">
        <v>4</v>
      </c>
      <c r="J8">
        <v>3</v>
      </c>
    </row>
    <row r="9" spans="1:10" x14ac:dyDescent="0.35">
      <c r="A9" t="s">
        <v>48</v>
      </c>
      <c r="B9" t="s">
        <v>49</v>
      </c>
      <c r="C9" t="s">
        <v>50</v>
      </c>
      <c r="D9" t="s">
        <v>51</v>
      </c>
      <c r="E9" t="s">
        <v>22</v>
      </c>
      <c r="F9" t="s">
        <v>52</v>
      </c>
      <c r="G9" t="s">
        <v>33</v>
      </c>
      <c r="H9" t="s">
        <v>17</v>
      </c>
      <c r="I9">
        <v>47</v>
      </c>
      <c r="J9">
        <v>1</v>
      </c>
    </row>
    <row r="10" spans="1:10" x14ac:dyDescent="0.35">
      <c r="A10" t="s">
        <v>53</v>
      </c>
      <c r="B10" t="s">
        <v>54</v>
      </c>
      <c r="C10" t="s">
        <v>55</v>
      </c>
      <c r="D10" t="s">
        <v>51</v>
      </c>
      <c r="E10" t="s">
        <v>22</v>
      </c>
      <c r="F10" t="s">
        <v>15</v>
      </c>
      <c r="G10" t="s">
        <v>16</v>
      </c>
      <c r="H10" t="s">
        <v>23</v>
      </c>
      <c r="I10">
        <v>14</v>
      </c>
      <c r="J10">
        <v>4</v>
      </c>
    </row>
    <row r="11" spans="1:10" x14ac:dyDescent="0.35">
      <c r="A11" t="s">
        <v>56</v>
      </c>
      <c r="B11" t="s">
        <v>39</v>
      </c>
      <c r="C11" t="s">
        <v>57</v>
      </c>
      <c r="D11" t="s">
        <v>58</v>
      </c>
      <c r="E11" t="s">
        <v>27</v>
      </c>
      <c r="F11" t="s">
        <v>28</v>
      </c>
      <c r="G11" t="s">
        <v>33</v>
      </c>
      <c r="H11" t="s">
        <v>17</v>
      </c>
      <c r="I11">
        <v>18</v>
      </c>
      <c r="J11">
        <v>1</v>
      </c>
    </row>
    <row r="12" spans="1:10" x14ac:dyDescent="0.35">
      <c r="A12" t="s">
        <v>59</v>
      </c>
      <c r="B12" t="s">
        <v>60</v>
      </c>
      <c r="C12" t="s">
        <v>61</v>
      </c>
      <c r="D12" t="s">
        <v>13</v>
      </c>
      <c r="E12" t="s">
        <v>27</v>
      </c>
      <c r="F12" t="s">
        <v>15</v>
      </c>
      <c r="G12" t="s">
        <v>62</v>
      </c>
      <c r="H12" t="s">
        <v>17</v>
      </c>
      <c r="I12">
        <v>44</v>
      </c>
      <c r="J12">
        <v>4</v>
      </c>
    </row>
    <row r="13" spans="1:10" x14ac:dyDescent="0.35">
      <c r="A13" t="s">
        <v>63</v>
      </c>
      <c r="B13" t="s">
        <v>64</v>
      </c>
      <c r="C13" t="s">
        <v>65</v>
      </c>
      <c r="D13" t="s">
        <v>32</v>
      </c>
      <c r="E13" t="s">
        <v>14</v>
      </c>
      <c r="F13" t="s">
        <v>15</v>
      </c>
      <c r="G13" t="s">
        <v>33</v>
      </c>
      <c r="H13" t="s">
        <v>17</v>
      </c>
      <c r="I13">
        <v>48</v>
      </c>
      <c r="J13">
        <v>3</v>
      </c>
    </row>
    <row r="14" spans="1:10" x14ac:dyDescent="0.35">
      <c r="A14" t="s">
        <v>66</v>
      </c>
      <c r="B14" t="s">
        <v>67</v>
      </c>
      <c r="C14" t="s">
        <v>68</v>
      </c>
      <c r="D14" t="s">
        <v>32</v>
      </c>
      <c r="E14" t="s">
        <v>22</v>
      </c>
      <c r="F14" t="s">
        <v>52</v>
      </c>
      <c r="G14" t="s">
        <v>16</v>
      </c>
      <c r="H14" t="s">
        <v>23</v>
      </c>
      <c r="I14">
        <v>58</v>
      </c>
      <c r="J14">
        <v>3</v>
      </c>
    </row>
    <row r="15" spans="1:10" x14ac:dyDescent="0.35">
      <c r="A15" t="s">
        <v>69</v>
      </c>
      <c r="B15" t="s">
        <v>70</v>
      </c>
      <c r="C15" t="s">
        <v>71</v>
      </c>
      <c r="D15" t="s">
        <v>51</v>
      </c>
      <c r="E15" t="s">
        <v>14</v>
      </c>
      <c r="F15" t="s">
        <v>52</v>
      </c>
      <c r="G15" t="s">
        <v>41</v>
      </c>
      <c r="H15" t="s">
        <v>23</v>
      </c>
      <c r="I15">
        <v>34</v>
      </c>
      <c r="J15">
        <v>3</v>
      </c>
    </row>
    <row r="16" spans="1:10" x14ac:dyDescent="0.35">
      <c r="A16" t="s">
        <v>72</v>
      </c>
      <c r="B16" t="s">
        <v>64</v>
      </c>
      <c r="C16" t="s">
        <v>73</v>
      </c>
      <c r="D16" t="s">
        <v>58</v>
      </c>
      <c r="E16" t="s">
        <v>27</v>
      </c>
      <c r="F16" t="s">
        <v>28</v>
      </c>
      <c r="G16" t="s">
        <v>33</v>
      </c>
      <c r="H16" t="s">
        <v>23</v>
      </c>
      <c r="I16">
        <v>65</v>
      </c>
      <c r="J16">
        <v>1</v>
      </c>
    </row>
    <row r="17" spans="1:10" x14ac:dyDescent="0.35">
      <c r="A17" t="s">
        <v>74</v>
      </c>
      <c r="B17" t="s">
        <v>75</v>
      </c>
      <c r="C17" t="s">
        <v>76</v>
      </c>
      <c r="D17" t="s">
        <v>21</v>
      </c>
      <c r="E17" t="s">
        <v>14</v>
      </c>
      <c r="F17" t="s">
        <v>52</v>
      </c>
      <c r="G17" t="s">
        <v>41</v>
      </c>
      <c r="H17" t="s">
        <v>23</v>
      </c>
      <c r="I17">
        <v>43</v>
      </c>
      <c r="J17">
        <v>5</v>
      </c>
    </row>
    <row r="18" spans="1:10" x14ac:dyDescent="0.35">
      <c r="A18" t="s">
        <v>77</v>
      </c>
      <c r="B18" t="s">
        <v>78</v>
      </c>
      <c r="C18" t="s">
        <v>79</v>
      </c>
      <c r="D18" t="s">
        <v>58</v>
      </c>
      <c r="E18" t="s">
        <v>22</v>
      </c>
      <c r="F18" t="s">
        <v>15</v>
      </c>
      <c r="G18" t="s">
        <v>62</v>
      </c>
      <c r="H18" t="s">
        <v>47</v>
      </c>
      <c r="I18">
        <v>22</v>
      </c>
      <c r="J18">
        <v>3</v>
      </c>
    </row>
    <row r="19" spans="1:10" x14ac:dyDescent="0.35">
      <c r="A19" t="s">
        <v>80</v>
      </c>
      <c r="B19" t="s">
        <v>81</v>
      </c>
      <c r="C19" t="s">
        <v>82</v>
      </c>
      <c r="D19" t="s">
        <v>58</v>
      </c>
      <c r="E19" t="s">
        <v>37</v>
      </c>
      <c r="F19" t="s">
        <v>28</v>
      </c>
      <c r="G19" t="s">
        <v>33</v>
      </c>
      <c r="H19" t="s">
        <v>47</v>
      </c>
      <c r="I19">
        <v>38</v>
      </c>
      <c r="J19">
        <v>4</v>
      </c>
    </row>
    <row r="20" spans="1:10" x14ac:dyDescent="0.35">
      <c r="A20" t="s">
        <v>83</v>
      </c>
      <c r="B20" t="s">
        <v>84</v>
      </c>
      <c r="C20" t="s">
        <v>85</v>
      </c>
      <c r="D20" t="s">
        <v>13</v>
      </c>
      <c r="E20" t="s">
        <v>14</v>
      </c>
      <c r="F20" t="s">
        <v>15</v>
      </c>
      <c r="G20" t="s">
        <v>41</v>
      </c>
      <c r="H20" t="s">
        <v>17</v>
      </c>
      <c r="I20">
        <v>36</v>
      </c>
      <c r="J20">
        <v>5</v>
      </c>
    </row>
    <row r="21" spans="1:10" x14ac:dyDescent="0.35">
      <c r="A21" t="s">
        <v>86</v>
      </c>
      <c r="B21" t="s">
        <v>67</v>
      </c>
      <c r="C21" t="s">
        <v>87</v>
      </c>
      <c r="D21" t="s">
        <v>58</v>
      </c>
      <c r="E21" t="s">
        <v>14</v>
      </c>
      <c r="F21" t="s">
        <v>52</v>
      </c>
      <c r="G21" t="s">
        <v>33</v>
      </c>
      <c r="H21" t="s">
        <v>47</v>
      </c>
      <c r="I21">
        <v>34</v>
      </c>
      <c r="J21">
        <v>4</v>
      </c>
    </row>
    <row r="22" spans="1:10" x14ac:dyDescent="0.35">
      <c r="A22" t="s">
        <v>88</v>
      </c>
      <c r="B22" t="s">
        <v>35</v>
      </c>
      <c r="C22" t="s">
        <v>89</v>
      </c>
      <c r="D22" t="s">
        <v>58</v>
      </c>
      <c r="E22" t="s">
        <v>27</v>
      </c>
      <c r="F22" t="s">
        <v>28</v>
      </c>
      <c r="G22" t="s">
        <v>16</v>
      </c>
      <c r="H22" t="s">
        <v>23</v>
      </c>
      <c r="I22">
        <v>8</v>
      </c>
      <c r="J22">
        <v>4</v>
      </c>
    </row>
    <row r="23" spans="1:10" x14ac:dyDescent="0.35">
      <c r="A23" t="s">
        <v>90</v>
      </c>
      <c r="B23" t="s">
        <v>91</v>
      </c>
      <c r="C23" t="s">
        <v>92</v>
      </c>
      <c r="D23" t="s">
        <v>21</v>
      </c>
      <c r="E23" t="s">
        <v>27</v>
      </c>
      <c r="F23" t="s">
        <v>15</v>
      </c>
      <c r="G23" t="s">
        <v>33</v>
      </c>
      <c r="H23" t="s">
        <v>47</v>
      </c>
      <c r="I23">
        <v>30</v>
      </c>
      <c r="J23">
        <v>2</v>
      </c>
    </row>
    <row r="24" spans="1:10" x14ac:dyDescent="0.35">
      <c r="A24" t="s">
        <v>93</v>
      </c>
      <c r="B24" t="s">
        <v>35</v>
      </c>
      <c r="C24" t="s">
        <v>94</v>
      </c>
      <c r="D24" t="s">
        <v>21</v>
      </c>
      <c r="E24" t="s">
        <v>27</v>
      </c>
      <c r="F24" t="s">
        <v>15</v>
      </c>
      <c r="G24" t="s">
        <v>62</v>
      </c>
      <c r="H24" t="s">
        <v>23</v>
      </c>
      <c r="I24">
        <v>11</v>
      </c>
      <c r="J24">
        <v>1</v>
      </c>
    </row>
    <row r="25" spans="1:10" x14ac:dyDescent="0.35">
      <c r="A25" t="s">
        <v>95</v>
      </c>
      <c r="B25" t="s">
        <v>96</v>
      </c>
      <c r="C25" t="s">
        <v>97</v>
      </c>
      <c r="D25" t="s">
        <v>13</v>
      </c>
      <c r="E25" t="s">
        <v>14</v>
      </c>
      <c r="F25" t="s">
        <v>15</v>
      </c>
      <c r="G25" t="s">
        <v>46</v>
      </c>
      <c r="H25" t="s">
        <v>47</v>
      </c>
      <c r="I25">
        <v>12</v>
      </c>
      <c r="J25">
        <v>5</v>
      </c>
    </row>
    <row r="26" spans="1:10" x14ac:dyDescent="0.35">
      <c r="A26" t="s">
        <v>98</v>
      </c>
      <c r="B26" t="s">
        <v>99</v>
      </c>
      <c r="C26" t="s">
        <v>100</v>
      </c>
      <c r="D26" t="s">
        <v>32</v>
      </c>
      <c r="E26" t="s">
        <v>14</v>
      </c>
      <c r="F26" t="s">
        <v>45</v>
      </c>
      <c r="G26" t="s">
        <v>33</v>
      </c>
      <c r="H26" t="s">
        <v>23</v>
      </c>
      <c r="I26">
        <v>38</v>
      </c>
      <c r="J26">
        <v>4</v>
      </c>
    </row>
    <row r="27" spans="1:10" x14ac:dyDescent="0.35">
      <c r="A27" t="s">
        <v>101</v>
      </c>
      <c r="B27" t="s">
        <v>19</v>
      </c>
      <c r="C27" t="s">
        <v>102</v>
      </c>
      <c r="D27" t="s">
        <v>58</v>
      </c>
      <c r="E27" t="s">
        <v>22</v>
      </c>
      <c r="F27" t="s">
        <v>28</v>
      </c>
      <c r="G27" t="s">
        <v>46</v>
      </c>
      <c r="H27" t="s">
        <v>17</v>
      </c>
      <c r="I27">
        <v>20</v>
      </c>
      <c r="J27">
        <v>2</v>
      </c>
    </row>
    <row r="28" spans="1:10" x14ac:dyDescent="0.35">
      <c r="A28" t="s">
        <v>103</v>
      </c>
      <c r="B28" t="s">
        <v>104</v>
      </c>
      <c r="C28" t="s">
        <v>105</v>
      </c>
      <c r="D28" t="s">
        <v>32</v>
      </c>
      <c r="E28" t="s">
        <v>14</v>
      </c>
      <c r="F28" t="s">
        <v>28</v>
      </c>
      <c r="G28" t="s">
        <v>33</v>
      </c>
      <c r="H28" t="s">
        <v>23</v>
      </c>
      <c r="I28">
        <v>9</v>
      </c>
      <c r="J28">
        <v>5</v>
      </c>
    </row>
    <row r="29" spans="1:10" x14ac:dyDescent="0.35">
      <c r="A29" t="s">
        <v>106</v>
      </c>
      <c r="B29" t="s">
        <v>107</v>
      </c>
      <c r="C29" t="s">
        <v>108</v>
      </c>
      <c r="D29" t="s">
        <v>21</v>
      </c>
      <c r="E29" t="s">
        <v>22</v>
      </c>
      <c r="F29" t="s">
        <v>28</v>
      </c>
      <c r="G29" t="s">
        <v>16</v>
      </c>
      <c r="H29" t="s">
        <v>23</v>
      </c>
      <c r="I29">
        <v>46</v>
      </c>
      <c r="J29">
        <v>1</v>
      </c>
    </row>
    <row r="30" spans="1:10" x14ac:dyDescent="0.35">
      <c r="A30" t="s">
        <v>109</v>
      </c>
      <c r="B30" t="s">
        <v>39</v>
      </c>
      <c r="C30" t="s">
        <v>110</v>
      </c>
      <c r="D30" t="s">
        <v>58</v>
      </c>
      <c r="E30" t="s">
        <v>37</v>
      </c>
      <c r="F30" t="s">
        <v>15</v>
      </c>
      <c r="G30" t="s">
        <v>33</v>
      </c>
      <c r="H30" t="s">
        <v>23</v>
      </c>
      <c r="I30">
        <v>12</v>
      </c>
      <c r="J30">
        <v>3</v>
      </c>
    </row>
    <row r="31" spans="1:10" x14ac:dyDescent="0.35">
      <c r="A31" t="s">
        <v>111</v>
      </c>
      <c r="B31" t="s">
        <v>112</v>
      </c>
      <c r="C31" t="s">
        <v>113</v>
      </c>
      <c r="D31" t="s">
        <v>32</v>
      </c>
      <c r="E31" t="s">
        <v>22</v>
      </c>
      <c r="F31" t="s">
        <v>45</v>
      </c>
      <c r="G31" t="s">
        <v>41</v>
      </c>
      <c r="H31" t="s">
        <v>47</v>
      </c>
      <c r="I31">
        <v>12</v>
      </c>
      <c r="J31">
        <v>5</v>
      </c>
    </row>
    <row r="32" spans="1:10" x14ac:dyDescent="0.35">
      <c r="A32" t="s">
        <v>114</v>
      </c>
      <c r="B32" t="s">
        <v>43</v>
      </c>
      <c r="C32" t="s">
        <v>115</v>
      </c>
      <c r="D32" t="s">
        <v>21</v>
      </c>
      <c r="E32" t="s">
        <v>27</v>
      </c>
      <c r="F32" t="s">
        <v>52</v>
      </c>
      <c r="G32" t="s">
        <v>41</v>
      </c>
      <c r="H32" t="s">
        <v>23</v>
      </c>
      <c r="I32">
        <v>71</v>
      </c>
      <c r="J32">
        <v>2</v>
      </c>
    </row>
    <row r="33" spans="1:10" x14ac:dyDescent="0.35">
      <c r="A33" t="s">
        <v>116</v>
      </c>
      <c r="B33" t="s">
        <v>65</v>
      </c>
      <c r="C33" t="s">
        <v>117</v>
      </c>
      <c r="D33" t="s">
        <v>21</v>
      </c>
      <c r="E33" t="s">
        <v>27</v>
      </c>
      <c r="F33" t="s">
        <v>28</v>
      </c>
      <c r="G33" t="s">
        <v>16</v>
      </c>
      <c r="H33" t="s">
        <v>17</v>
      </c>
      <c r="I33">
        <v>16</v>
      </c>
      <c r="J33">
        <v>4</v>
      </c>
    </row>
    <row r="34" spans="1:10" x14ac:dyDescent="0.35">
      <c r="A34" t="s">
        <v>118</v>
      </c>
      <c r="B34" t="s">
        <v>96</v>
      </c>
      <c r="C34" t="s">
        <v>119</v>
      </c>
      <c r="D34" t="s">
        <v>58</v>
      </c>
      <c r="E34" t="s">
        <v>14</v>
      </c>
      <c r="F34" t="s">
        <v>45</v>
      </c>
      <c r="G34" t="s">
        <v>33</v>
      </c>
      <c r="H34" t="s">
        <v>17</v>
      </c>
      <c r="I34">
        <v>40</v>
      </c>
      <c r="J34">
        <v>3</v>
      </c>
    </row>
    <row r="35" spans="1:10" x14ac:dyDescent="0.35">
      <c r="A35" t="s">
        <v>120</v>
      </c>
      <c r="B35" t="s">
        <v>121</v>
      </c>
      <c r="C35" t="s">
        <v>122</v>
      </c>
      <c r="D35" t="s">
        <v>58</v>
      </c>
      <c r="E35" t="s">
        <v>14</v>
      </c>
      <c r="F35" t="s">
        <v>15</v>
      </c>
      <c r="G35" t="s">
        <v>16</v>
      </c>
      <c r="H35" t="s">
        <v>47</v>
      </c>
      <c r="I35">
        <v>41</v>
      </c>
      <c r="J35">
        <v>3</v>
      </c>
    </row>
    <row r="36" spans="1:10" x14ac:dyDescent="0.35">
      <c r="A36" t="s">
        <v>123</v>
      </c>
      <c r="B36" t="s">
        <v>124</v>
      </c>
      <c r="C36" t="s">
        <v>125</v>
      </c>
      <c r="D36" t="s">
        <v>58</v>
      </c>
      <c r="E36" t="s">
        <v>14</v>
      </c>
      <c r="F36" t="s">
        <v>28</v>
      </c>
      <c r="G36" t="s">
        <v>33</v>
      </c>
      <c r="H36" t="s">
        <v>47</v>
      </c>
      <c r="I36">
        <v>3</v>
      </c>
      <c r="J36">
        <v>4</v>
      </c>
    </row>
    <row r="37" spans="1:10" x14ac:dyDescent="0.35">
      <c r="A37" t="s">
        <v>126</v>
      </c>
      <c r="B37" t="s">
        <v>127</v>
      </c>
      <c r="C37" t="s">
        <v>128</v>
      </c>
      <c r="D37" t="s">
        <v>13</v>
      </c>
      <c r="E37" t="s">
        <v>37</v>
      </c>
      <c r="F37" t="s">
        <v>28</v>
      </c>
      <c r="G37" t="s">
        <v>46</v>
      </c>
      <c r="H37" t="s">
        <v>47</v>
      </c>
      <c r="I37">
        <v>17</v>
      </c>
      <c r="J37">
        <v>4</v>
      </c>
    </row>
    <row r="38" spans="1:10" x14ac:dyDescent="0.35">
      <c r="A38" t="s">
        <v>129</v>
      </c>
      <c r="B38" t="s">
        <v>130</v>
      </c>
      <c r="C38" t="s">
        <v>131</v>
      </c>
      <c r="D38" t="s">
        <v>51</v>
      </c>
      <c r="E38" t="s">
        <v>37</v>
      </c>
      <c r="F38" t="s">
        <v>28</v>
      </c>
      <c r="G38" t="s">
        <v>41</v>
      </c>
      <c r="H38" t="s">
        <v>17</v>
      </c>
      <c r="I38">
        <v>9</v>
      </c>
      <c r="J38">
        <v>3</v>
      </c>
    </row>
    <row r="39" spans="1:10" x14ac:dyDescent="0.35">
      <c r="A39" t="s">
        <v>132</v>
      </c>
      <c r="B39" t="s">
        <v>133</v>
      </c>
      <c r="C39" t="s">
        <v>134</v>
      </c>
      <c r="D39" t="s">
        <v>51</v>
      </c>
      <c r="E39" t="s">
        <v>27</v>
      </c>
      <c r="F39" t="s">
        <v>45</v>
      </c>
      <c r="G39" t="s">
        <v>46</v>
      </c>
      <c r="H39" t="s">
        <v>23</v>
      </c>
      <c r="I39">
        <v>51</v>
      </c>
      <c r="J39">
        <v>3</v>
      </c>
    </row>
    <row r="40" spans="1:10" x14ac:dyDescent="0.35">
      <c r="A40" t="s">
        <v>135</v>
      </c>
      <c r="B40" t="s">
        <v>11</v>
      </c>
      <c r="C40" t="s">
        <v>136</v>
      </c>
      <c r="D40" t="s">
        <v>58</v>
      </c>
      <c r="E40" t="s">
        <v>37</v>
      </c>
      <c r="F40" t="s">
        <v>28</v>
      </c>
      <c r="G40" t="s">
        <v>16</v>
      </c>
      <c r="H40" t="s">
        <v>17</v>
      </c>
      <c r="I40">
        <v>6</v>
      </c>
      <c r="J40">
        <v>2</v>
      </c>
    </row>
    <row r="41" spans="1:10" x14ac:dyDescent="0.35">
      <c r="A41" t="s">
        <v>137</v>
      </c>
      <c r="B41" t="s">
        <v>138</v>
      </c>
      <c r="C41" t="s">
        <v>139</v>
      </c>
      <c r="D41" t="s">
        <v>13</v>
      </c>
      <c r="E41" t="s">
        <v>37</v>
      </c>
      <c r="F41" t="s">
        <v>45</v>
      </c>
      <c r="G41" t="s">
        <v>33</v>
      </c>
      <c r="H41" t="s">
        <v>17</v>
      </c>
      <c r="I41">
        <v>47</v>
      </c>
      <c r="J41">
        <v>3</v>
      </c>
    </row>
    <row r="42" spans="1:10" x14ac:dyDescent="0.35">
      <c r="A42" t="s">
        <v>140</v>
      </c>
      <c r="B42" t="s">
        <v>141</v>
      </c>
      <c r="C42" t="s">
        <v>142</v>
      </c>
      <c r="D42" t="s">
        <v>21</v>
      </c>
      <c r="E42" t="s">
        <v>37</v>
      </c>
      <c r="F42" t="s">
        <v>15</v>
      </c>
      <c r="G42" t="s">
        <v>41</v>
      </c>
      <c r="H42" t="s">
        <v>47</v>
      </c>
      <c r="I42">
        <v>61</v>
      </c>
      <c r="J42">
        <v>3</v>
      </c>
    </row>
    <row r="43" spans="1:10" x14ac:dyDescent="0.35">
      <c r="A43" t="s">
        <v>143</v>
      </c>
      <c r="B43" t="s">
        <v>144</v>
      </c>
      <c r="C43" t="s">
        <v>145</v>
      </c>
      <c r="D43" t="s">
        <v>21</v>
      </c>
      <c r="E43" t="s">
        <v>22</v>
      </c>
      <c r="F43" t="s">
        <v>45</v>
      </c>
      <c r="G43" t="s">
        <v>62</v>
      </c>
      <c r="H43" t="s">
        <v>47</v>
      </c>
      <c r="I43">
        <v>29</v>
      </c>
      <c r="J43">
        <v>3</v>
      </c>
    </row>
    <row r="44" spans="1:10" x14ac:dyDescent="0.35">
      <c r="A44" t="s">
        <v>146</v>
      </c>
      <c r="B44" t="s">
        <v>147</v>
      </c>
      <c r="C44" t="s">
        <v>148</v>
      </c>
      <c r="D44" t="s">
        <v>13</v>
      </c>
      <c r="E44" t="s">
        <v>27</v>
      </c>
      <c r="F44" t="s">
        <v>52</v>
      </c>
      <c r="G44" t="s">
        <v>62</v>
      </c>
      <c r="H44" t="s">
        <v>23</v>
      </c>
      <c r="I44">
        <v>9</v>
      </c>
      <c r="J44">
        <v>2</v>
      </c>
    </row>
    <row r="45" spans="1:10" x14ac:dyDescent="0.35">
      <c r="A45" t="s">
        <v>149</v>
      </c>
      <c r="B45" t="s">
        <v>150</v>
      </c>
      <c r="C45" t="s">
        <v>151</v>
      </c>
      <c r="D45" t="s">
        <v>51</v>
      </c>
      <c r="E45" t="s">
        <v>14</v>
      </c>
      <c r="F45" t="s">
        <v>52</v>
      </c>
      <c r="G45" t="s">
        <v>62</v>
      </c>
      <c r="H45" t="s">
        <v>47</v>
      </c>
      <c r="I45">
        <v>61</v>
      </c>
      <c r="J45">
        <v>1</v>
      </c>
    </row>
    <row r="46" spans="1:10" x14ac:dyDescent="0.35">
      <c r="A46" t="s">
        <v>152</v>
      </c>
      <c r="B46" t="s">
        <v>43</v>
      </c>
      <c r="C46" t="s">
        <v>153</v>
      </c>
      <c r="D46" t="s">
        <v>32</v>
      </c>
      <c r="E46" t="s">
        <v>37</v>
      </c>
      <c r="F46" t="s">
        <v>15</v>
      </c>
      <c r="G46" t="s">
        <v>46</v>
      </c>
      <c r="H46" t="s">
        <v>47</v>
      </c>
      <c r="I46">
        <v>5</v>
      </c>
      <c r="J46">
        <v>2</v>
      </c>
    </row>
    <row r="47" spans="1:10" x14ac:dyDescent="0.35">
      <c r="A47" t="s">
        <v>154</v>
      </c>
      <c r="B47" t="s">
        <v>144</v>
      </c>
      <c r="C47" t="s">
        <v>155</v>
      </c>
      <c r="D47" t="s">
        <v>58</v>
      </c>
      <c r="E47" t="s">
        <v>14</v>
      </c>
      <c r="F47" t="s">
        <v>15</v>
      </c>
      <c r="G47" t="s">
        <v>33</v>
      </c>
      <c r="H47" t="s">
        <v>47</v>
      </c>
      <c r="I47">
        <v>23</v>
      </c>
      <c r="J47">
        <v>1</v>
      </c>
    </row>
    <row r="48" spans="1:10" x14ac:dyDescent="0.35">
      <c r="A48" t="s">
        <v>156</v>
      </c>
      <c r="B48" t="s">
        <v>157</v>
      </c>
      <c r="C48" t="s">
        <v>158</v>
      </c>
      <c r="D48" t="s">
        <v>58</v>
      </c>
      <c r="E48" t="s">
        <v>22</v>
      </c>
      <c r="F48" t="s">
        <v>45</v>
      </c>
      <c r="G48" t="s">
        <v>62</v>
      </c>
      <c r="H48" t="s">
        <v>17</v>
      </c>
      <c r="I48">
        <v>10</v>
      </c>
      <c r="J48">
        <v>2</v>
      </c>
    </row>
    <row r="49" spans="1:10" x14ac:dyDescent="0.35">
      <c r="A49" t="s">
        <v>159</v>
      </c>
      <c r="B49" t="s">
        <v>160</v>
      </c>
      <c r="C49" t="s">
        <v>155</v>
      </c>
      <c r="D49" t="s">
        <v>13</v>
      </c>
      <c r="E49" t="s">
        <v>14</v>
      </c>
      <c r="F49" t="s">
        <v>52</v>
      </c>
      <c r="G49" t="s">
        <v>46</v>
      </c>
      <c r="H49" t="s">
        <v>47</v>
      </c>
      <c r="I49">
        <v>71</v>
      </c>
      <c r="J49">
        <v>5</v>
      </c>
    </row>
    <row r="50" spans="1:10" x14ac:dyDescent="0.35">
      <c r="A50" t="s">
        <v>161</v>
      </c>
      <c r="B50" t="s">
        <v>162</v>
      </c>
      <c r="C50" t="s">
        <v>163</v>
      </c>
      <c r="D50" t="s">
        <v>21</v>
      </c>
      <c r="E50" t="s">
        <v>27</v>
      </c>
      <c r="F50" t="s">
        <v>15</v>
      </c>
      <c r="G50" t="s">
        <v>16</v>
      </c>
      <c r="H50" t="s">
        <v>23</v>
      </c>
      <c r="I50">
        <v>35</v>
      </c>
      <c r="J50">
        <v>5</v>
      </c>
    </row>
    <row r="51" spans="1:10" x14ac:dyDescent="0.35">
      <c r="A51" t="s">
        <v>164</v>
      </c>
      <c r="B51" t="s">
        <v>165</v>
      </c>
      <c r="C51" t="s">
        <v>166</v>
      </c>
      <c r="D51" t="s">
        <v>58</v>
      </c>
      <c r="E51" t="s">
        <v>14</v>
      </c>
      <c r="F51" t="s">
        <v>52</v>
      </c>
      <c r="G51" t="s">
        <v>46</v>
      </c>
      <c r="H51" t="s">
        <v>47</v>
      </c>
      <c r="I51">
        <v>48</v>
      </c>
      <c r="J51">
        <v>3</v>
      </c>
    </row>
    <row r="52" spans="1:10" x14ac:dyDescent="0.35">
      <c r="A52" t="s">
        <v>167</v>
      </c>
      <c r="B52" t="s">
        <v>54</v>
      </c>
      <c r="C52" t="s">
        <v>168</v>
      </c>
      <c r="D52" t="s">
        <v>21</v>
      </c>
      <c r="E52" t="s">
        <v>22</v>
      </c>
      <c r="F52" t="s">
        <v>45</v>
      </c>
      <c r="G52" t="s">
        <v>33</v>
      </c>
      <c r="H52" t="s">
        <v>23</v>
      </c>
      <c r="I52">
        <v>63</v>
      </c>
      <c r="J52">
        <v>2</v>
      </c>
    </row>
    <row r="53" spans="1:10" x14ac:dyDescent="0.35">
      <c r="A53" t="s">
        <v>169</v>
      </c>
      <c r="B53" t="s">
        <v>170</v>
      </c>
      <c r="C53" t="s">
        <v>171</v>
      </c>
      <c r="D53" t="s">
        <v>21</v>
      </c>
      <c r="E53" t="s">
        <v>22</v>
      </c>
      <c r="F53" t="s">
        <v>15</v>
      </c>
      <c r="G53" t="s">
        <v>16</v>
      </c>
      <c r="H53" t="s">
        <v>23</v>
      </c>
      <c r="I53">
        <v>16</v>
      </c>
      <c r="J53">
        <v>3</v>
      </c>
    </row>
    <row r="54" spans="1:10" x14ac:dyDescent="0.35">
      <c r="A54" t="s">
        <v>172</v>
      </c>
      <c r="B54" t="s">
        <v>173</v>
      </c>
      <c r="C54" t="s">
        <v>174</v>
      </c>
      <c r="D54" t="s">
        <v>51</v>
      </c>
      <c r="E54" t="s">
        <v>37</v>
      </c>
      <c r="F54" t="s">
        <v>45</v>
      </c>
      <c r="G54" t="s">
        <v>46</v>
      </c>
      <c r="H54" t="s">
        <v>17</v>
      </c>
      <c r="I54">
        <v>45</v>
      </c>
      <c r="J54">
        <v>3</v>
      </c>
    </row>
    <row r="55" spans="1:10" x14ac:dyDescent="0.35">
      <c r="A55" t="s">
        <v>175</v>
      </c>
      <c r="B55" t="s">
        <v>60</v>
      </c>
      <c r="C55" t="s">
        <v>176</v>
      </c>
      <c r="D55" t="s">
        <v>51</v>
      </c>
      <c r="E55" t="s">
        <v>27</v>
      </c>
      <c r="F55" t="s">
        <v>15</v>
      </c>
      <c r="G55" t="s">
        <v>33</v>
      </c>
      <c r="H55" t="s">
        <v>17</v>
      </c>
      <c r="I55">
        <v>5</v>
      </c>
      <c r="J55">
        <v>2</v>
      </c>
    </row>
    <row r="56" spans="1:10" x14ac:dyDescent="0.35">
      <c r="A56" t="s">
        <v>177</v>
      </c>
      <c r="B56" t="s">
        <v>150</v>
      </c>
      <c r="C56" t="s">
        <v>178</v>
      </c>
      <c r="D56" t="s">
        <v>13</v>
      </c>
      <c r="E56" t="s">
        <v>14</v>
      </c>
      <c r="F56" t="s">
        <v>45</v>
      </c>
      <c r="G56" t="s">
        <v>46</v>
      </c>
      <c r="H56" t="s">
        <v>17</v>
      </c>
      <c r="I56">
        <v>5</v>
      </c>
      <c r="J56">
        <v>5</v>
      </c>
    </row>
    <row r="57" spans="1:10" x14ac:dyDescent="0.35">
      <c r="A57" t="s">
        <v>179</v>
      </c>
      <c r="B57" t="s">
        <v>180</v>
      </c>
      <c r="C57" t="s">
        <v>181</v>
      </c>
      <c r="D57" t="s">
        <v>21</v>
      </c>
      <c r="E57" t="s">
        <v>27</v>
      </c>
      <c r="F57" t="s">
        <v>15</v>
      </c>
      <c r="G57" t="s">
        <v>41</v>
      </c>
      <c r="H57" t="s">
        <v>17</v>
      </c>
      <c r="I57">
        <v>31</v>
      </c>
      <c r="J57">
        <v>5</v>
      </c>
    </row>
    <row r="58" spans="1:10" x14ac:dyDescent="0.35">
      <c r="A58" t="s">
        <v>182</v>
      </c>
      <c r="B58" t="s">
        <v>183</v>
      </c>
      <c r="C58" t="s">
        <v>184</v>
      </c>
      <c r="D58" t="s">
        <v>58</v>
      </c>
      <c r="E58" t="s">
        <v>14</v>
      </c>
      <c r="F58" t="s">
        <v>15</v>
      </c>
      <c r="G58" t="s">
        <v>33</v>
      </c>
      <c r="H58" t="s">
        <v>17</v>
      </c>
      <c r="I58">
        <v>16</v>
      </c>
      <c r="J58">
        <v>1</v>
      </c>
    </row>
    <row r="59" spans="1:10" x14ac:dyDescent="0.35">
      <c r="A59" t="s">
        <v>185</v>
      </c>
      <c r="B59" t="s">
        <v>65</v>
      </c>
      <c r="C59" t="s">
        <v>186</v>
      </c>
      <c r="D59" t="s">
        <v>21</v>
      </c>
      <c r="E59" t="s">
        <v>37</v>
      </c>
      <c r="F59" t="s">
        <v>28</v>
      </c>
      <c r="G59" t="s">
        <v>46</v>
      </c>
      <c r="H59" t="s">
        <v>47</v>
      </c>
      <c r="I59">
        <v>57</v>
      </c>
      <c r="J59">
        <v>4</v>
      </c>
    </row>
    <row r="60" spans="1:10" x14ac:dyDescent="0.35">
      <c r="A60" t="s">
        <v>187</v>
      </c>
      <c r="B60" t="s">
        <v>188</v>
      </c>
      <c r="C60" t="s">
        <v>189</v>
      </c>
      <c r="D60" t="s">
        <v>51</v>
      </c>
      <c r="E60" t="s">
        <v>14</v>
      </c>
      <c r="F60" t="s">
        <v>45</v>
      </c>
      <c r="G60" t="s">
        <v>16</v>
      </c>
      <c r="H60" t="s">
        <v>47</v>
      </c>
      <c r="I60">
        <v>38</v>
      </c>
      <c r="J60">
        <v>2</v>
      </c>
    </row>
    <row r="61" spans="1:10" x14ac:dyDescent="0.35">
      <c r="A61" t="s">
        <v>190</v>
      </c>
      <c r="B61" t="s">
        <v>191</v>
      </c>
      <c r="C61" t="s">
        <v>192</v>
      </c>
      <c r="D61" t="s">
        <v>32</v>
      </c>
      <c r="E61" t="s">
        <v>14</v>
      </c>
      <c r="F61" t="s">
        <v>15</v>
      </c>
      <c r="G61" t="s">
        <v>46</v>
      </c>
      <c r="H61" t="s">
        <v>23</v>
      </c>
      <c r="I61">
        <v>35</v>
      </c>
      <c r="J61">
        <v>1</v>
      </c>
    </row>
    <row r="62" spans="1:10" x14ac:dyDescent="0.35">
      <c r="A62" t="s">
        <v>193</v>
      </c>
      <c r="B62" t="s">
        <v>133</v>
      </c>
      <c r="C62" t="s">
        <v>194</v>
      </c>
      <c r="D62" t="s">
        <v>21</v>
      </c>
      <c r="E62" t="s">
        <v>27</v>
      </c>
      <c r="F62" t="s">
        <v>28</v>
      </c>
      <c r="G62" t="s">
        <v>62</v>
      </c>
      <c r="H62" t="s">
        <v>23</v>
      </c>
      <c r="I62">
        <v>12</v>
      </c>
      <c r="J62">
        <v>1</v>
      </c>
    </row>
    <row r="63" spans="1:10" x14ac:dyDescent="0.35">
      <c r="A63" t="s">
        <v>195</v>
      </c>
      <c r="B63" t="s">
        <v>196</v>
      </c>
      <c r="C63" t="s">
        <v>197</v>
      </c>
      <c r="D63" t="s">
        <v>51</v>
      </c>
      <c r="E63" t="s">
        <v>37</v>
      </c>
      <c r="F63" t="s">
        <v>15</v>
      </c>
      <c r="G63" t="s">
        <v>62</v>
      </c>
      <c r="H63" t="s">
        <v>17</v>
      </c>
      <c r="I63">
        <v>48</v>
      </c>
      <c r="J63">
        <v>5</v>
      </c>
    </row>
    <row r="64" spans="1:10" x14ac:dyDescent="0.35">
      <c r="A64" t="s">
        <v>198</v>
      </c>
      <c r="B64" t="s">
        <v>199</v>
      </c>
      <c r="C64" t="s">
        <v>200</v>
      </c>
      <c r="D64" t="s">
        <v>21</v>
      </c>
      <c r="E64" t="s">
        <v>14</v>
      </c>
      <c r="F64" t="s">
        <v>52</v>
      </c>
      <c r="G64" t="s">
        <v>16</v>
      </c>
      <c r="H64" t="s">
        <v>47</v>
      </c>
      <c r="I64">
        <v>23</v>
      </c>
      <c r="J64">
        <v>1</v>
      </c>
    </row>
    <row r="65" spans="1:10" x14ac:dyDescent="0.35">
      <c r="A65" t="s">
        <v>201</v>
      </c>
      <c r="B65" t="s">
        <v>107</v>
      </c>
      <c r="C65" t="s">
        <v>202</v>
      </c>
      <c r="D65" t="s">
        <v>32</v>
      </c>
      <c r="E65" t="s">
        <v>14</v>
      </c>
      <c r="F65" t="s">
        <v>28</v>
      </c>
      <c r="G65" t="s">
        <v>33</v>
      </c>
      <c r="H65" t="s">
        <v>23</v>
      </c>
      <c r="I65">
        <v>53</v>
      </c>
      <c r="J65">
        <v>3</v>
      </c>
    </row>
    <row r="66" spans="1:10" x14ac:dyDescent="0.35">
      <c r="A66" t="s">
        <v>203</v>
      </c>
      <c r="B66" t="s">
        <v>64</v>
      </c>
      <c r="C66" t="s">
        <v>204</v>
      </c>
      <c r="D66" t="s">
        <v>58</v>
      </c>
      <c r="E66" t="s">
        <v>22</v>
      </c>
      <c r="F66" t="s">
        <v>52</v>
      </c>
      <c r="G66" t="s">
        <v>33</v>
      </c>
      <c r="H66" t="s">
        <v>17</v>
      </c>
      <c r="I66">
        <v>40</v>
      </c>
      <c r="J66">
        <v>5</v>
      </c>
    </row>
    <row r="67" spans="1:10" x14ac:dyDescent="0.35">
      <c r="A67" t="s">
        <v>205</v>
      </c>
      <c r="B67" t="s">
        <v>206</v>
      </c>
      <c r="C67" t="s">
        <v>207</v>
      </c>
      <c r="D67" t="s">
        <v>58</v>
      </c>
      <c r="E67" t="s">
        <v>14</v>
      </c>
      <c r="F67" t="s">
        <v>45</v>
      </c>
      <c r="G67" t="s">
        <v>62</v>
      </c>
      <c r="H67" t="s">
        <v>17</v>
      </c>
      <c r="I67">
        <v>59</v>
      </c>
      <c r="J67">
        <v>2</v>
      </c>
    </row>
    <row r="68" spans="1:10" x14ac:dyDescent="0.35">
      <c r="A68" t="s">
        <v>208</v>
      </c>
      <c r="B68" t="s">
        <v>209</v>
      </c>
      <c r="C68" t="s">
        <v>210</v>
      </c>
      <c r="D68" t="s">
        <v>51</v>
      </c>
      <c r="E68" t="s">
        <v>22</v>
      </c>
      <c r="F68" t="s">
        <v>45</v>
      </c>
      <c r="G68" t="s">
        <v>33</v>
      </c>
      <c r="H68" t="s">
        <v>47</v>
      </c>
      <c r="I68">
        <v>41</v>
      </c>
      <c r="J68">
        <v>5</v>
      </c>
    </row>
    <row r="69" spans="1:10" x14ac:dyDescent="0.35">
      <c r="A69" t="s">
        <v>211</v>
      </c>
      <c r="B69" t="s">
        <v>212</v>
      </c>
      <c r="C69" t="s">
        <v>213</v>
      </c>
      <c r="D69" t="s">
        <v>32</v>
      </c>
      <c r="E69" t="s">
        <v>37</v>
      </c>
      <c r="F69" t="s">
        <v>15</v>
      </c>
      <c r="G69" t="s">
        <v>62</v>
      </c>
      <c r="H69" t="s">
        <v>23</v>
      </c>
      <c r="I69">
        <v>68</v>
      </c>
      <c r="J69">
        <v>5</v>
      </c>
    </row>
    <row r="70" spans="1:10" x14ac:dyDescent="0.35">
      <c r="A70" t="s">
        <v>214</v>
      </c>
      <c r="B70" t="s">
        <v>212</v>
      </c>
      <c r="C70" t="s">
        <v>215</v>
      </c>
      <c r="D70" t="s">
        <v>58</v>
      </c>
      <c r="E70" t="s">
        <v>14</v>
      </c>
      <c r="F70" t="s">
        <v>52</v>
      </c>
      <c r="G70" t="s">
        <v>62</v>
      </c>
      <c r="H70" t="s">
        <v>23</v>
      </c>
      <c r="I70">
        <v>23</v>
      </c>
      <c r="J70">
        <v>5</v>
      </c>
    </row>
    <row r="71" spans="1:10" x14ac:dyDescent="0.35">
      <c r="A71" t="s">
        <v>216</v>
      </c>
      <c r="B71" t="s">
        <v>180</v>
      </c>
      <c r="C71" t="s">
        <v>217</v>
      </c>
      <c r="D71" t="s">
        <v>21</v>
      </c>
      <c r="E71" t="s">
        <v>27</v>
      </c>
      <c r="F71" t="s">
        <v>52</v>
      </c>
      <c r="G71" t="s">
        <v>46</v>
      </c>
      <c r="H71" t="s">
        <v>17</v>
      </c>
      <c r="I71">
        <v>51</v>
      </c>
      <c r="J71">
        <v>3</v>
      </c>
    </row>
    <row r="72" spans="1:10" x14ac:dyDescent="0.35">
      <c r="A72" t="s">
        <v>218</v>
      </c>
      <c r="B72" t="s">
        <v>81</v>
      </c>
      <c r="C72" t="s">
        <v>219</v>
      </c>
      <c r="D72" t="s">
        <v>32</v>
      </c>
      <c r="E72" t="s">
        <v>22</v>
      </c>
      <c r="F72" t="s">
        <v>45</v>
      </c>
      <c r="G72" t="s">
        <v>41</v>
      </c>
      <c r="H72" t="s">
        <v>23</v>
      </c>
      <c r="I72">
        <v>49</v>
      </c>
      <c r="J72">
        <v>5</v>
      </c>
    </row>
    <row r="73" spans="1:10" x14ac:dyDescent="0.35">
      <c r="A73" t="s">
        <v>220</v>
      </c>
      <c r="B73" t="s">
        <v>157</v>
      </c>
      <c r="C73" t="s">
        <v>221</v>
      </c>
      <c r="D73" t="s">
        <v>51</v>
      </c>
      <c r="E73" t="s">
        <v>22</v>
      </c>
      <c r="F73" t="s">
        <v>52</v>
      </c>
      <c r="G73" t="s">
        <v>46</v>
      </c>
      <c r="H73" t="s">
        <v>23</v>
      </c>
      <c r="I73">
        <v>72</v>
      </c>
      <c r="J73">
        <v>3</v>
      </c>
    </row>
    <row r="74" spans="1:10" x14ac:dyDescent="0.35">
      <c r="A74" t="s">
        <v>222</v>
      </c>
      <c r="B74" t="s">
        <v>138</v>
      </c>
      <c r="C74" t="s">
        <v>223</v>
      </c>
      <c r="D74" t="s">
        <v>21</v>
      </c>
      <c r="E74" t="s">
        <v>27</v>
      </c>
      <c r="F74" t="s">
        <v>15</v>
      </c>
      <c r="G74" t="s">
        <v>16</v>
      </c>
      <c r="H74" t="s">
        <v>23</v>
      </c>
      <c r="I74">
        <v>41</v>
      </c>
      <c r="J74">
        <v>1</v>
      </c>
    </row>
    <row r="75" spans="1:10" x14ac:dyDescent="0.35">
      <c r="A75" t="s">
        <v>224</v>
      </c>
      <c r="B75" t="s">
        <v>225</v>
      </c>
      <c r="C75" t="s">
        <v>226</v>
      </c>
      <c r="D75" t="s">
        <v>13</v>
      </c>
      <c r="E75" t="s">
        <v>14</v>
      </c>
      <c r="F75" t="s">
        <v>28</v>
      </c>
      <c r="G75" t="s">
        <v>62</v>
      </c>
      <c r="H75" t="s">
        <v>23</v>
      </c>
      <c r="I75">
        <v>37</v>
      </c>
      <c r="J75">
        <v>1</v>
      </c>
    </row>
    <row r="76" spans="1:10" x14ac:dyDescent="0.35">
      <c r="A76" t="s">
        <v>227</v>
      </c>
      <c r="B76" t="s">
        <v>228</v>
      </c>
      <c r="C76" t="s">
        <v>229</v>
      </c>
      <c r="D76" t="s">
        <v>51</v>
      </c>
      <c r="E76" t="s">
        <v>27</v>
      </c>
      <c r="F76" t="s">
        <v>28</v>
      </c>
      <c r="G76" t="s">
        <v>62</v>
      </c>
      <c r="H76" t="s">
        <v>17</v>
      </c>
      <c r="I76">
        <v>23</v>
      </c>
      <c r="J76">
        <v>5</v>
      </c>
    </row>
    <row r="77" spans="1:10" x14ac:dyDescent="0.35">
      <c r="A77" t="s">
        <v>230</v>
      </c>
      <c r="B77" t="s">
        <v>231</v>
      </c>
      <c r="C77" t="s">
        <v>232</v>
      </c>
      <c r="D77" t="s">
        <v>21</v>
      </c>
      <c r="E77" t="s">
        <v>22</v>
      </c>
      <c r="F77" t="s">
        <v>52</v>
      </c>
      <c r="G77" t="s">
        <v>33</v>
      </c>
      <c r="H77" t="s">
        <v>17</v>
      </c>
      <c r="I77">
        <v>29</v>
      </c>
      <c r="J77">
        <v>3</v>
      </c>
    </row>
    <row r="78" spans="1:10" x14ac:dyDescent="0.35">
      <c r="A78" t="s">
        <v>233</v>
      </c>
      <c r="B78" t="s">
        <v>25</v>
      </c>
      <c r="C78" t="s">
        <v>234</v>
      </c>
      <c r="D78" t="s">
        <v>32</v>
      </c>
      <c r="E78" t="s">
        <v>22</v>
      </c>
      <c r="F78" t="s">
        <v>15</v>
      </c>
      <c r="G78" t="s">
        <v>41</v>
      </c>
      <c r="H78" t="s">
        <v>23</v>
      </c>
      <c r="I78">
        <v>15</v>
      </c>
      <c r="J78">
        <v>1</v>
      </c>
    </row>
    <row r="79" spans="1:10" x14ac:dyDescent="0.35">
      <c r="A79" t="s">
        <v>235</v>
      </c>
      <c r="B79" t="s">
        <v>43</v>
      </c>
      <c r="C79" t="s">
        <v>236</v>
      </c>
      <c r="D79" t="s">
        <v>32</v>
      </c>
      <c r="E79" t="s">
        <v>27</v>
      </c>
      <c r="F79" t="s">
        <v>52</v>
      </c>
      <c r="G79" t="s">
        <v>62</v>
      </c>
      <c r="H79" t="s">
        <v>47</v>
      </c>
      <c r="I79">
        <v>17</v>
      </c>
      <c r="J79">
        <v>2</v>
      </c>
    </row>
    <row r="80" spans="1:10" x14ac:dyDescent="0.35">
      <c r="A80" t="s">
        <v>237</v>
      </c>
      <c r="B80" t="s">
        <v>173</v>
      </c>
      <c r="C80" t="s">
        <v>238</v>
      </c>
      <c r="D80" t="s">
        <v>13</v>
      </c>
      <c r="E80" t="s">
        <v>14</v>
      </c>
      <c r="F80" t="s">
        <v>52</v>
      </c>
      <c r="G80" t="s">
        <v>16</v>
      </c>
      <c r="H80" t="s">
        <v>17</v>
      </c>
      <c r="I80">
        <v>9</v>
      </c>
      <c r="J80">
        <v>2</v>
      </c>
    </row>
    <row r="81" spans="1:10" x14ac:dyDescent="0.35">
      <c r="A81" t="s">
        <v>239</v>
      </c>
      <c r="B81" t="s">
        <v>206</v>
      </c>
      <c r="C81" t="s">
        <v>240</v>
      </c>
      <c r="D81" t="s">
        <v>13</v>
      </c>
      <c r="E81" t="s">
        <v>14</v>
      </c>
      <c r="F81" t="s">
        <v>28</v>
      </c>
      <c r="G81" t="s">
        <v>46</v>
      </c>
      <c r="H81" t="s">
        <v>17</v>
      </c>
      <c r="I81">
        <v>61</v>
      </c>
      <c r="J81">
        <v>2</v>
      </c>
    </row>
    <row r="82" spans="1:10" x14ac:dyDescent="0.35">
      <c r="A82" t="s">
        <v>241</v>
      </c>
      <c r="B82" t="s">
        <v>242</v>
      </c>
      <c r="C82" t="s">
        <v>243</v>
      </c>
      <c r="D82" t="s">
        <v>32</v>
      </c>
      <c r="E82" t="s">
        <v>14</v>
      </c>
      <c r="F82" t="s">
        <v>52</v>
      </c>
      <c r="G82" t="s">
        <v>16</v>
      </c>
      <c r="H82" t="s">
        <v>47</v>
      </c>
      <c r="I82">
        <v>59</v>
      </c>
      <c r="J82">
        <v>2</v>
      </c>
    </row>
    <row r="83" spans="1:10" x14ac:dyDescent="0.35">
      <c r="A83" t="s">
        <v>244</v>
      </c>
      <c r="B83" t="s">
        <v>150</v>
      </c>
      <c r="C83" t="s">
        <v>245</v>
      </c>
      <c r="D83" t="s">
        <v>51</v>
      </c>
      <c r="E83" t="s">
        <v>27</v>
      </c>
      <c r="F83" t="s">
        <v>28</v>
      </c>
      <c r="G83" t="s">
        <v>46</v>
      </c>
      <c r="H83" t="s">
        <v>47</v>
      </c>
      <c r="I83">
        <v>41</v>
      </c>
      <c r="J83">
        <v>4</v>
      </c>
    </row>
    <row r="84" spans="1:10" x14ac:dyDescent="0.35">
      <c r="A84" t="s">
        <v>246</v>
      </c>
      <c r="B84" t="s">
        <v>247</v>
      </c>
      <c r="C84" t="s">
        <v>248</v>
      </c>
      <c r="D84" t="s">
        <v>21</v>
      </c>
      <c r="E84" t="s">
        <v>37</v>
      </c>
      <c r="F84" t="s">
        <v>45</v>
      </c>
      <c r="G84" t="s">
        <v>46</v>
      </c>
      <c r="H84" t="s">
        <v>47</v>
      </c>
      <c r="I84">
        <v>37</v>
      </c>
      <c r="J84">
        <v>3</v>
      </c>
    </row>
    <row r="85" spans="1:10" x14ac:dyDescent="0.35">
      <c r="A85" t="s">
        <v>249</v>
      </c>
      <c r="B85" t="s">
        <v>250</v>
      </c>
      <c r="C85" t="s">
        <v>251</v>
      </c>
      <c r="D85" t="s">
        <v>13</v>
      </c>
      <c r="E85" t="s">
        <v>22</v>
      </c>
      <c r="F85" t="s">
        <v>45</v>
      </c>
      <c r="G85" t="s">
        <v>41</v>
      </c>
      <c r="H85" t="s">
        <v>23</v>
      </c>
      <c r="I85">
        <v>69</v>
      </c>
      <c r="J85">
        <v>1</v>
      </c>
    </row>
    <row r="86" spans="1:10" x14ac:dyDescent="0.35">
      <c r="A86" t="s">
        <v>252</v>
      </c>
      <c r="B86" t="s">
        <v>212</v>
      </c>
      <c r="C86" t="s">
        <v>253</v>
      </c>
      <c r="D86" t="s">
        <v>32</v>
      </c>
      <c r="E86" t="s">
        <v>22</v>
      </c>
      <c r="F86" t="s">
        <v>28</v>
      </c>
      <c r="G86" t="s">
        <v>62</v>
      </c>
      <c r="H86" t="s">
        <v>17</v>
      </c>
      <c r="I86">
        <v>54</v>
      </c>
      <c r="J86">
        <v>3</v>
      </c>
    </row>
    <row r="87" spans="1:10" x14ac:dyDescent="0.35">
      <c r="A87" t="s">
        <v>254</v>
      </c>
      <c r="B87" t="s">
        <v>255</v>
      </c>
      <c r="C87" t="s">
        <v>256</v>
      </c>
      <c r="D87" t="s">
        <v>13</v>
      </c>
      <c r="E87" t="s">
        <v>27</v>
      </c>
      <c r="F87" t="s">
        <v>45</v>
      </c>
      <c r="G87" t="s">
        <v>62</v>
      </c>
      <c r="H87" t="s">
        <v>17</v>
      </c>
      <c r="I87">
        <v>47</v>
      </c>
      <c r="J87">
        <v>3</v>
      </c>
    </row>
    <row r="88" spans="1:10" x14ac:dyDescent="0.35">
      <c r="A88" t="s">
        <v>257</v>
      </c>
      <c r="B88" t="s">
        <v>258</v>
      </c>
      <c r="C88" t="s">
        <v>259</v>
      </c>
      <c r="D88" t="s">
        <v>32</v>
      </c>
      <c r="E88" t="s">
        <v>14</v>
      </c>
      <c r="F88" t="s">
        <v>15</v>
      </c>
      <c r="G88" t="s">
        <v>41</v>
      </c>
      <c r="H88" t="s">
        <v>17</v>
      </c>
      <c r="I88">
        <v>47</v>
      </c>
      <c r="J88">
        <v>3</v>
      </c>
    </row>
    <row r="89" spans="1:10" x14ac:dyDescent="0.35">
      <c r="A89" t="s">
        <v>260</v>
      </c>
      <c r="B89" t="s">
        <v>99</v>
      </c>
      <c r="C89" t="s">
        <v>261</v>
      </c>
      <c r="D89" t="s">
        <v>51</v>
      </c>
      <c r="E89" t="s">
        <v>27</v>
      </c>
      <c r="F89" t="s">
        <v>52</v>
      </c>
      <c r="G89" t="s">
        <v>16</v>
      </c>
      <c r="H89" t="s">
        <v>17</v>
      </c>
      <c r="I89">
        <v>50</v>
      </c>
      <c r="J89">
        <v>4</v>
      </c>
    </row>
    <row r="90" spans="1:10" x14ac:dyDescent="0.35">
      <c r="A90" t="s">
        <v>262</v>
      </c>
      <c r="B90" t="s">
        <v>263</v>
      </c>
      <c r="C90" t="s">
        <v>264</v>
      </c>
      <c r="D90" t="s">
        <v>32</v>
      </c>
      <c r="E90" t="s">
        <v>22</v>
      </c>
      <c r="F90" t="s">
        <v>15</v>
      </c>
      <c r="G90" t="s">
        <v>62</v>
      </c>
      <c r="H90" t="s">
        <v>23</v>
      </c>
      <c r="I90">
        <v>7</v>
      </c>
      <c r="J90">
        <v>3</v>
      </c>
    </row>
    <row r="91" spans="1:10" x14ac:dyDescent="0.35">
      <c r="A91" t="s">
        <v>265</v>
      </c>
      <c r="B91" t="s">
        <v>266</v>
      </c>
      <c r="C91" t="s">
        <v>267</v>
      </c>
      <c r="D91" t="s">
        <v>21</v>
      </c>
      <c r="E91" t="s">
        <v>37</v>
      </c>
      <c r="F91" t="s">
        <v>52</v>
      </c>
      <c r="G91" t="s">
        <v>41</v>
      </c>
      <c r="H91" t="s">
        <v>17</v>
      </c>
      <c r="I91">
        <v>53</v>
      </c>
      <c r="J91">
        <v>4</v>
      </c>
    </row>
    <row r="92" spans="1:10" x14ac:dyDescent="0.35">
      <c r="A92" t="s">
        <v>268</v>
      </c>
      <c r="B92" t="s">
        <v>269</v>
      </c>
      <c r="C92" t="s">
        <v>270</v>
      </c>
      <c r="D92" t="s">
        <v>21</v>
      </c>
      <c r="E92" t="s">
        <v>14</v>
      </c>
      <c r="F92" t="s">
        <v>52</v>
      </c>
      <c r="G92" t="s">
        <v>46</v>
      </c>
      <c r="H92" t="s">
        <v>47</v>
      </c>
      <c r="I92">
        <v>22</v>
      </c>
      <c r="J92">
        <v>4</v>
      </c>
    </row>
    <row r="93" spans="1:10" x14ac:dyDescent="0.35">
      <c r="A93" t="s">
        <v>271</v>
      </c>
      <c r="B93" t="s">
        <v>272</v>
      </c>
      <c r="C93" t="s">
        <v>273</v>
      </c>
      <c r="D93" t="s">
        <v>13</v>
      </c>
      <c r="E93" t="s">
        <v>27</v>
      </c>
      <c r="F93" t="s">
        <v>15</v>
      </c>
      <c r="G93" t="s">
        <v>41</v>
      </c>
      <c r="H93" t="s">
        <v>17</v>
      </c>
      <c r="I93">
        <v>4</v>
      </c>
      <c r="J93">
        <v>1</v>
      </c>
    </row>
    <row r="94" spans="1:10" x14ac:dyDescent="0.35">
      <c r="A94" t="s">
        <v>274</v>
      </c>
      <c r="B94" t="s">
        <v>275</v>
      </c>
      <c r="C94" t="s">
        <v>276</v>
      </c>
      <c r="D94" t="s">
        <v>58</v>
      </c>
      <c r="E94" t="s">
        <v>37</v>
      </c>
      <c r="F94" t="s">
        <v>52</v>
      </c>
      <c r="G94" t="s">
        <v>33</v>
      </c>
      <c r="H94" t="s">
        <v>17</v>
      </c>
      <c r="I94">
        <v>10</v>
      </c>
      <c r="J94">
        <v>5</v>
      </c>
    </row>
    <row r="95" spans="1:10" x14ac:dyDescent="0.35">
      <c r="A95" t="s">
        <v>277</v>
      </c>
      <c r="B95" t="s">
        <v>96</v>
      </c>
      <c r="C95" t="s">
        <v>278</v>
      </c>
      <c r="D95" t="s">
        <v>21</v>
      </c>
      <c r="E95" t="s">
        <v>27</v>
      </c>
      <c r="F95" t="s">
        <v>45</v>
      </c>
      <c r="G95" t="s">
        <v>16</v>
      </c>
      <c r="H95" t="s">
        <v>23</v>
      </c>
      <c r="I95">
        <v>47</v>
      </c>
      <c r="J95">
        <v>3</v>
      </c>
    </row>
    <row r="96" spans="1:10" x14ac:dyDescent="0.35">
      <c r="A96" t="s">
        <v>279</v>
      </c>
      <c r="B96" t="s">
        <v>144</v>
      </c>
      <c r="C96" t="s">
        <v>280</v>
      </c>
      <c r="D96" t="s">
        <v>58</v>
      </c>
      <c r="E96" t="s">
        <v>22</v>
      </c>
      <c r="F96" t="s">
        <v>15</v>
      </c>
      <c r="G96" t="s">
        <v>41</v>
      </c>
      <c r="H96" t="s">
        <v>23</v>
      </c>
      <c r="I96">
        <v>36</v>
      </c>
      <c r="J96">
        <v>1</v>
      </c>
    </row>
    <row r="97" spans="1:10" x14ac:dyDescent="0.35">
      <c r="A97" t="s">
        <v>281</v>
      </c>
      <c r="B97" t="s">
        <v>183</v>
      </c>
      <c r="C97" t="s">
        <v>282</v>
      </c>
      <c r="D97" t="s">
        <v>32</v>
      </c>
      <c r="E97" t="s">
        <v>37</v>
      </c>
      <c r="F97" t="s">
        <v>52</v>
      </c>
      <c r="G97" t="s">
        <v>62</v>
      </c>
      <c r="H97" t="s">
        <v>23</v>
      </c>
      <c r="I97">
        <v>70</v>
      </c>
      <c r="J97">
        <v>4</v>
      </c>
    </row>
    <row r="98" spans="1:10" x14ac:dyDescent="0.35">
      <c r="A98" t="s">
        <v>283</v>
      </c>
      <c r="B98" t="s">
        <v>284</v>
      </c>
      <c r="C98" t="s">
        <v>285</v>
      </c>
      <c r="D98" t="s">
        <v>13</v>
      </c>
      <c r="E98" t="s">
        <v>14</v>
      </c>
      <c r="F98" t="s">
        <v>15</v>
      </c>
      <c r="G98" t="s">
        <v>41</v>
      </c>
      <c r="H98" t="s">
        <v>23</v>
      </c>
      <c r="I98">
        <v>4</v>
      </c>
      <c r="J98">
        <v>2</v>
      </c>
    </row>
    <row r="99" spans="1:10" x14ac:dyDescent="0.35">
      <c r="A99" t="s">
        <v>286</v>
      </c>
      <c r="B99" t="s">
        <v>183</v>
      </c>
      <c r="C99" t="s">
        <v>287</v>
      </c>
      <c r="D99" t="s">
        <v>21</v>
      </c>
      <c r="E99" t="s">
        <v>27</v>
      </c>
      <c r="F99" t="s">
        <v>45</v>
      </c>
      <c r="G99" t="s">
        <v>41</v>
      </c>
      <c r="H99" t="s">
        <v>17</v>
      </c>
      <c r="I99">
        <v>64</v>
      </c>
      <c r="J99">
        <v>4</v>
      </c>
    </row>
    <row r="100" spans="1:10" x14ac:dyDescent="0.35">
      <c r="A100" t="s">
        <v>288</v>
      </c>
      <c r="B100" t="s">
        <v>49</v>
      </c>
      <c r="C100" t="s">
        <v>289</v>
      </c>
      <c r="D100" t="s">
        <v>32</v>
      </c>
      <c r="E100" t="s">
        <v>27</v>
      </c>
      <c r="F100" t="s">
        <v>45</v>
      </c>
      <c r="G100" t="s">
        <v>33</v>
      </c>
      <c r="H100" t="s">
        <v>23</v>
      </c>
      <c r="I100">
        <v>23</v>
      </c>
      <c r="J100">
        <v>1</v>
      </c>
    </row>
    <row r="101" spans="1:10" x14ac:dyDescent="0.35">
      <c r="A101" t="s">
        <v>290</v>
      </c>
      <c r="B101" t="s">
        <v>291</v>
      </c>
      <c r="C101" t="s">
        <v>292</v>
      </c>
      <c r="D101" t="s">
        <v>58</v>
      </c>
      <c r="E101" t="s">
        <v>27</v>
      </c>
      <c r="F101" t="s">
        <v>15</v>
      </c>
      <c r="G101" t="s">
        <v>62</v>
      </c>
      <c r="H101" t="s">
        <v>47</v>
      </c>
      <c r="I101">
        <v>46</v>
      </c>
      <c r="J101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9179A-E706-47FE-956A-C8C803BB65BF}">
  <dimension ref="A3:B8"/>
  <sheetViews>
    <sheetView workbookViewId="0">
      <selection activeCell="B16" sqref="B16"/>
    </sheetView>
  </sheetViews>
  <sheetFormatPr baseColWidth="10" defaultRowHeight="14.5" x14ac:dyDescent="0.35"/>
  <cols>
    <col min="1" max="1" width="9" bestFit="1" customWidth="1"/>
    <col min="2" max="2" width="16.6328125" bestFit="1" customWidth="1"/>
  </cols>
  <sheetData>
    <row r="3" spans="1:2" x14ac:dyDescent="0.35">
      <c r="A3" s="2" t="s">
        <v>6</v>
      </c>
      <c r="B3" t="s">
        <v>294</v>
      </c>
    </row>
    <row r="4" spans="1:2" x14ac:dyDescent="0.35">
      <c r="A4" t="s">
        <v>46</v>
      </c>
      <c r="B4" s="3">
        <v>18</v>
      </c>
    </row>
    <row r="5" spans="1:2" x14ac:dyDescent="0.35">
      <c r="A5" t="s">
        <v>33</v>
      </c>
      <c r="B5" s="3">
        <v>25</v>
      </c>
    </row>
    <row r="6" spans="1:2" x14ac:dyDescent="0.35">
      <c r="A6" t="s">
        <v>62</v>
      </c>
      <c r="B6" s="3">
        <v>20</v>
      </c>
    </row>
    <row r="7" spans="1:2" x14ac:dyDescent="0.35">
      <c r="A7" t="s">
        <v>16</v>
      </c>
      <c r="B7" s="3">
        <v>19</v>
      </c>
    </row>
    <row r="8" spans="1:2" x14ac:dyDescent="0.35">
      <c r="A8" t="s">
        <v>41</v>
      </c>
      <c r="B8" s="3">
        <v>18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E82F-C5FF-4377-A7BA-C8417D458A57}">
  <dimension ref="A3:B7"/>
  <sheetViews>
    <sheetView workbookViewId="0">
      <selection activeCell="A3" sqref="A3"/>
    </sheetView>
  </sheetViews>
  <sheetFormatPr baseColWidth="10" defaultRowHeight="14.5" x14ac:dyDescent="0.35"/>
  <cols>
    <col min="1" max="1" width="16.54296875" bestFit="1" customWidth="1"/>
    <col min="2" max="2" width="30.90625" bestFit="1" customWidth="1"/>
  </cols>
  <sheetData>
    <row r="3" spans="1:2" x14ac:dyDescent="0.35">
      <c r="A3" s="2" t="s">
        <v>295</v>
      </c>
      <c r="B3" t="s">
        <v>293</v>
      </c>
    </row>
    <row r="4" spans="1:2" x14ac:dyDescent="0.35">
      <c r="A4" s="4" t="s">
        <v>47</v>
      </c>
      <c r="B4" s="3">
        <v>892</v>
      </c>
    </row>
    <row r="5" spans="1:2" x14ac:dyDescent="0.35">
      <c r="A5" s="4" t="s">
        <v>23</v>
      </c>
      <c r="B5" s="3">
        <v>1374</v>
      </c>
    </row>
    <row r="6" spans="1:2" x14ac:dyDescent="0.35">
      <c r="A6" s="4" t="s">
        <v>17</v>
      </c>
      <c r="B6" s="3">
        <v>1136</v>
      </c>
    </row>
    <row r="7" spans="1:2" x14ac:dyDescent="0.35">
      <c r="A7" s="4" t="s">
        <v>296</v>
      </c>
      <c r="B7" s="3">
        <v>3402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D70A-A82B-4C1D-A089-14C8A3193A24}">
  <dimension ref="A2:F9"/>
  <sheetViews>
    <sheetView workbookViewId="0"/>
  </sheetViews>
  <sheetFormatPr baseColWidth="10" defaultRowHeight="14.5" x14ac:dyDescent="0.35"/>
  <cols>
    <col min="1" max="1" width="34.54296875" bestFit="1" customWidth="1"/>
    <col min="2" max="6" width="11.81640625" bestFit="1" customWidth="1"/>
  </cols>
  <sheetData>
    <row r="2" spans="1:6" x14ac:dyDescent="0.35">
      <c r="A2" s="2" t="s">
        <v>297</v>
      </c>
      <c r="B2" s="2" t="s">
        <v>5</v>
      </c>
    </row>
    <row r="3" spans="1:6" x14ac:dyDescent="0.35">
      <c r="A3" s="2" t="s">
        <v>6</v>
      </c>
      <c r="B3" t="s">
        <v>52</v>
      </c>
      <c r="C3" t="s">
        <v>45</v>
      </c>
      <c r="D3" t="s">
        <v>28</v>
      </c>
      <c r="E3" t="s">
        <v>15</v>
      </c>
      <c r="F3" t="s">
        <v>296</v>
      </c>
    </row>
    <row r="4" spans="1:6" x14ac:dyDescent="0.35">
      <c r="A4" t="s">
        <v>41</v>
      </c>
      <c r="B4" s="3">
        <v>50.25</v>
      </c>
      <c r="C4" s="3">
        <v>48.5</v>
      </c>
      <c r="D4" s="3">
        <v>9</v>
      </c>
      <c r="E4" s="3">
        <v>28.888888888888889</v>
      </c>
      <c r="F4" s="3">
        <v>36.888888888888886</v>
      </c>
    </row>
    <row r="5" spans="1:6" x14ac:dyDescent="0.35">
      <c r="A5" t="s">
        <v>46</v>
      </c>
      <c r="B5" s="3">
        <v>52.8</v>
      </c>
      <c r="C5" s="3">
        <v>28.4</v>
      </c>
      <c r="D5" s="3">
        <v>39.200000000000003</v>
      </c>
      <c r="E5" s="3">
        <v>17.333333333333332</v>
      </c>
      <c r="F5" s="3">
        <v>36.333333333333336</v>
      </c>
    </row>
    <row r="6" spans="1:6" x14ac:dyDescent="0.35">
      <c r="A6" t="s">
        <v>62</v>
      </c>
      <c r="B6" s="3">
        <v>36</v>
      </c>
      <c r="C6" s="3">
        <v>36.25</v>
      </c>
      <c r="D6" s="3">
        <v>31.5</v>
      </c>
      <c r="E6" s="3">
        <v>35.142857142857146</v>
      </c>
      <c r="F6" s="3">
        <v>34.85</v>
      </c>
    </row>
    <row r="7" spans="1:6" x14ac:dyDescent="0.35">
      <c r="A7" t="s">
        <v>16</v>
      </c>
      <c r="B7" s="3">
        <v>39.799999999999997</v>
      </c>
      <c r="C7" s="3">
        <v>42.5</v>
      </c>
      <c r="D7" s="3">
        <v>20.6</v>
      </c>
      <c r="E7" s="3">
        <v>32</v>
      </c>
      <c r="F7" s="3">
        <v>32.157894736842103</v>
      </c>
    </row>
    <row r="8" spans="1:6" x14ac:dyDescent="0.35">
      <c r="A8" t="s">
        <v>33</v>
      </c>
      <c r="B8" s="3">
        <v>32</v>
      </c>
      <c r="C8" s="3">
        <v>42</v>
      </c>
      <c r="D8" s="3">
        <v>29.142857142857142</v>
      </c>
      <c r="E8" s="3">
        <v>22.857142857142858</v>
      </c>
      <c r="F8" s="3">
        <v>31.04</v>
      </c>
    </row>
    <row r="9" spans="1:6" x14ac:dyDescent="0.35">
      <c r="A9" t="s">
        <v>296</v>
      </c>
      <c r="B9" s="3">
        <v>41.833333333333336</v>
      </c>
      <c r="C9" s="3">
        <v>38.952380952380949</v>
      </c>
      <c r="D9" s="3">
        <v>29</v>
      </c>
      <c r="E9" s="3">
        <v>28.545454545454547</v>
      </c>
      <c r="F9" s="3">
        <v>34.020000000000003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F6FB-419F-47BD-9369-6F6D8AE3590A}">
  <dimension ref="A1:C48"/>
  <sheetViews>
    <sheetView zoomScale="60" workbookViewId="0">
      <selection activeCell="B17" sqref="B17"/>
    </sheetView>
  </sheetViews>
  <sheetFormatPr baseColWidth="10" defaultRowHeight="14.5" x14ac:dyDescent="0.35"/>
  <cols>
    <col min="1" max="1" width="69.08984375" customWidth="1"/>
    <col min="2" max="2" width="18.1796875" customWidth="1"/>
    <col min="3" max="3" width="20" customWidth="1"/>
  </cols>
  <sheetData>
    <row r="1" spans="1:3" ht="21" x14ac:dyDescent="0.5">
      <c r="A1" s="5" t="s">
        <v>298</v>
      </c>
    </row>
    <row r="2" spans="1:3" x14ac:dyDescent="0.35">
      <c r="A2" s="6" t="s">
        <v>299</v>
      </c>
    </row>
    <row r="4" spans="1:3" ht="15.5" x14ac:dyDescent="0.35">
      <c r="A4" s="7" t="s">
        <v>300</v>
      </c>
    </row>
    <row r="5" spans="1:3" x14ac:dyDescent="0.35">
      <c r="A5" t="s">
        <v>301</v>
      </c>
    </row>
    <row r="7" spans="1:3" x14ac:dyDescent="0.35">
      <c r="A7" s="9" t="s">
        <v>7</v>
      </c>
      <c r="B7" s="9" t="s">
        <v>302</v>
      </c>
      <c r="C7" s="9" t="s">
        <v>303</v>
      </c>
    </row>
    <row r="8" spans="1:3" x14ac:dyDescent="0.35">
      <c r="A8" s="10" t="s">
        <v>23</v>
      </c>
      <c r="B8" s="10">
        <f>COUNTIF(Data!H:H,"Escalado")</f>
        <v>38</v>
      </c>
      <c r="C8" s="11">
        <f>B8/100</f>
        <v>0.38</v>
      </c>
    </row>
    <row r="9" spans="1:3" x14ac:dyDescent="0.35">
      <c r="A9" s="10" t="s">
        <v>17</v>
      </c>
      <c r="B9" s="10">
        <f>COUNTIF(Data!H:H,"Resuelto")</f>
        <v>35</v>
      </c>
      <c r="C9" s="11">
        <f>B9/100</f>
        <v>0.35</v>
      </c>
    </row>
    <row r="10" spans="1:3" x14ac:dyDescent="0.35">
      <c r="A10" s="10" t="s">
        <v>47</v>
      </c>
      <c r="B10" s="10">
        <f>COUNTIF(Data!H:H,"Cerrado")</f>
        <v>27</v>
      </c>
      <c r="C10" s="11">
        <f>B10/100</f>
        <v>0.27</v>
      </c>
    </row>
    <row r="13" spans="1:3" ht="15.5" x14ac:dyDescent="0.35">
      <c r="A13" s="7" t="s">
        <v>304</v>
      </c>
    </row>
    <row r="14" spans="1:3" x14ac:dyDescent="0.35">
      <c r="A14" t="s">
        <v>305</v>
      </c>
    </row>
    <row r="16" spans="1:3" x14ac:dyDescent="0.35">
      <c r="A16" s="9" t="s">
        <v>5</v>
      </c>
      <c r="B16" s="9" t="s">
        <v>306</v>
      </c>
    </row>
    <row r="17" spans="1:3" x14ac:dyDescent="0.35">
      <c r="A17" s="10" t="s">
        <v>52</v>
      </c>
      <c r="B17" s="12">
        <f>AVERAGEIF(Data!F:F,"Telefono",Data!I:I)</f>
        <v>41.833333333333336</v>
      </c>
    </row>
    <row r="18" spans="1:3" x14ac:dyDescent="0.35">
      <c r="A18" s="10" t="s">
        <v>45</v>
      </c>
      <c r="B18" s="12">
        <f>AVERAGEIF(Data!F:F,"Chat",Data!I:I)</f>
        <v>38.952380952380949</v>
      </c>
    </row>
    <row r="19" spans="1:3" x14ac:dyDescent="0.35">
      <c r="A19" s="10" t="s">
        <v>28</v>
      </c>
      <c r="B19" s="12">
        <f>AVERAGEIF(Data!F:F,"Email",Data!I:I)</f>
        <v>29</v>
      </c>
    </row>
    <row r="20" spans="1:3" x14ac:dyDescent="0.35">
      <c r="A20" s="10" t="s">
        <v>15</v>
      </c>
      <c r="B20" s="12">
        <f>AVERAGEIF(Data!F:F,"Portal",Data!I:I)</f>
        <v>28.545454545454547</v>
      </c>
    </row>
    <row r="21" spans="1:3" x14ac:dyDescent="0.35">
      <c r="A21" s="13" t="s">
        <v>307</v>
      </c>
      <c r="B21" s="14">
        <f>AVERAGE(Data!I:I)</f>
        <v>34.020000000000003</v>
      </c>
    </row>
    <row r="24" spans="1:3" ht="15.5" x14ac:dyDescent="0.35">
      <c r="A24" s="7" t="s">
        <v>308</v>
      </c>
    </row>
    <row r="25" spans="1:3" x14ac:dyDescent="0.35">
      <c r="A25" t="s">
        <v>309</v>
      </c>
    </row>
    <row r="27" spans="1:3" x14ac:dyDescent="0.35">
      <c r="A27" s="9" t="s">
        <v>4</v>
      </c>
      <c r="B27" s="9" t="s">
        <v>310</v>
      </c>
      <c r="C27" s="9" t="s">
        <v>311</v>
      </c>
    </row>
    <row r="28" spans="1:3" x14ac:dyDescent="0.35">
      <c r="A28" s="10" t="s">
        <v>22</v>
      </c>
      <c r="B28" s="12">
        <f>AVERAGEIF(Data!E:E,"Critica",Data!I:I)</f>
        <v>36.727272727272727</v>
      </c>
      <c r="C28" s="12">
        <f>AVERAGEIF(Data!E:E,"Critica",Data!J:J)</f>
        <v>2.7727272727272729</v>
      </c>
    </row>
    <row r="29" spans="1:3" x14ac:dyDescent="0.35">
      <c r="A29" s="10" t="s">
        <v>14</v>
      </c>
      <c r="B29" s="12">
        <f>AVERAGEIF(Data!E:E,"Alta",Data!I:I)</f>
        <v>33.625</v>
      </c>
      <c r="C29" s="12">
        <f>AVERAGEIF(Data!E:E,"Alta",Data!J:J)</f>
        <v>3.03125</v>
      </c>
    </row>
    <row r="30" spans="1:3" x14ac:dyDescent="0.35">
      <c r="A30" s="10" t="s">
        <v>27</v>
      </c>
      <c r="B30" s="12">
        <f>AVERAGEIF(Data!E:E,"Media",Data!I:I)</f>
        <v>32.851851851851855</v>
      </c>
      <c r="C30" s="12">
        <f>AVERAGEIF(Data!E:E,"Media",Data!J:J)</f>
        <v>2.7777777777777777</v>
      </c>
    </row>
    <row r="31" spans="1:3" x14ac:dyDescent="0.35">
      <c r="A31" s="10" t="s">
        <v>37</v>
      </c>
      <c r="B31" s="12">
        <f>AVERAGEIF(Data!E:E,"Baja",Data!I:I)</f>
        <v>33.210526315789473</v>
      </c>
      <c r="C31" s="12">
        <f>AVERAGEIF(Data!E:E,"Baja",Data!J:J)</f>
        <v>3.263157894736842</v>
      </c>
    </row>
    <row r="34" spans="1:1" ht="15.5" x14ac:dyDescent="0.35">
      <c r="A34" s="8" t="s">
        <v>312</v>
      </c>
    </row>
    <row r="36" spans="1:1" x14ac:dyDescent="0.35">
      <c r="A36" t="s">
        <v>313</v>
      </c>
    </row>
    <row r="37" spans="1:1" x14ac:dyDescent="0.35">
      <c r="A37" t="s">
        <v>314</v>
      </c>
    </row>
    <row r="38" spans="1:1" x14ac:dyDescent="0.35">
      <c r="A38" t="s">
        <v>315</v>
      </c>
    </row>
    <row r="39" spans="1:1" x14ac:dyDescent="0.35">
      <c r="A39" t="s">
        <v>316</v>
      </c>
    </row>
    <row r="40" spans="1:1" x14ac:dyDescent="0.35">
      <c r="A40" t="s">
        <v>317</v>
      </c>
    </row>
    <row r="43" spans="1:1" ht="15.5" x14ac:dyDescent="0.35">
      <c r="A43" s="8" t="s">
        <v>318</v>
      </c>
    </row>
    <row r="45" spans="1:1" x14ac:dyDescent="0.35">
      <c r="A45" t="s">
        <v>319</v>
      </c>
    </row>
    <row r="46" spans="1:1" x14ac:dyDescent="0.35">
      <c r="A46" t="s">
        <v>320</v>
      </c>
    </row>
    <row r="47" spans="1:1" x14ac:dyDescent="0.35">
      <c r="A47" t="s">
        <v>321</v>
      </c>
    </row>
    <row r="48" spans="1:1" x14ac:dyDescent="0.35">
      <c r="A48" t="s">
        <v>322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5DBA-4CFC-479F-99B5-BEDB20D7E4C7}">
  <dimension ref="A1:A4"/>
  <sheetViews>
    <sheetView workbookViewId="0">
      <selection activeCell="A5" sqref="A5"/>
    </sheetView>
  </sheetViews>
  <sheetFormatPr baseColWidth="10" defaultRowHeight="14.5" x14ac:dyDescent="0.35"/>
  <sheetData>
    <row r="1" spans="1:1" x14ac:dyDescent="0.35">
      <c r="A1" t="s">
        <v>323</v>
      </c>
    </row>
    <row r="2" spans="1:1" x14ac:dyDescent="0.35">
      <c r="A2" t="s">
        <v>324</v>
      </c>
    </row>
    <row r="3" spans="1:1" x14ac:dyDescent="0.35">
      <c r="A3" t="s">
        <v>325</v>
      </c>
    </row>
    <row r="4" spans="1:1" x14ac:dyDescent="0.35">
      <c r="A4" t="s">
        <v>326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D27E-747F-427B-B34E-F8DED36D0C78}">
  <dimension ref="A1:H49"/>
  <sheetViews>
    <sheetView tabSelected="1" zoomScale="68" workbookViewId="0">
      <selection activeCell="C49" sqref="C49"/>
    </sheetView>
  </sheetViews>
  <sheetFormatPr baseColWidth="10" defaultRowHeight="14.5" x14ac:dyDescent="0.35"/>
  <cols>
    <col min="1" max="1" width="32.7265625" customWidth="1"/>
    <col min="2" max="2" width="23.6328125" customWidth="1"/>
    <col min="3" max="3" width="43.6328125" customWidth="1"/>
    <col min="4" max="5" width="18.1796875" customWidth="1"/>
  </cols>
  <sheetData>
    <row r="1" spans="1:8" ht="23.5" x14ac:dyDescent="0.55000000000000004">
      <c r="A1" s="16" t="s">
        <v>327</v>
      </c>
      <c r="B1" s="15"/>
      <c r="C1" s="15"/>
      <c r="D1" s="15"/>
      <c r="E1" s="15"/>
      <c r="F1" s="15"/>
      <c r="G1" s="15"/>
      <c r="H1" s="15"/>
    </row>
    <row r="2" spans="1:8" x14ac:dyDescent="0.35">
      <c r="A2" s="18" t="s">
        <v>328</v>
      </c>
      <c r="B2" s="15"/>
      <c r="C2" s="15"/>
      <c r="D2" s="15"/>
      <c r="E2" s="15"/>
      <c r="F2" s="15"/>
      <c r="G2" s="15"/>
      <c r="H2" s="15"/>
    </row>
    <row r="4" spans="1:8" ht="17" x14ac:dyDescent="0.4">
      <c r="A4" s="20" t="s">
        <v>329</v>
      </c>
      <c r="B4" s="15"/>
      <c r="C4" s="15"/>
      <c r="D4" s="15"/>
    </row>
    <row r="5" spans="1:8" x14ac:dyDescent="0.35">
      <c r="A5" s="17" t="s">
        <v>330</v>
      </c>
      <c r="B5" s="15"/>
      <c r="C5" s="15"/>
      <c r="D5" s="15"/>
    </row>
    <row r="7" spans="1:8" x14ac:dyDescent="0.35">
      <c r="A7" s="21" t="s">
        <v>331</v>
      </c>
      <c r="B7" s="21" t="s">
        <v>332</v>
      </c>
    </row>
    <row r="8" spans="1:8" x14ac:dyDescent="0.35">
      <c r="A8" t="s">
        <v>333</v>
      </c>
      <c r="B8" t="s">
        <v>334</v>
      </c>
    </row>
    <row r="9" spans="1:8" x14ac:dyDescent="0.35">
      <c r="A9" t="s">
        <v>335</v>
      </c>
      <c r="B9" t="s">
        <v>336</v>
      </c>
    </row>
    <row r="10" spans="1:8" x14ac:dyDescent="0.35">
      <c r="A10" t="s">
        <v>337</v>
      </c>
      <c r="B10" t="s">
        <v>338</v>
      </c>
    </row>
    <row r="11" spans="1:8" x14ac:dyDescent="0.35">
      <c r="A11" t="s">
        <v>339</v>
      </c>
      <c r="B11" t="s">
        <v>340</v>
      </c>
    </row>
    <row r="13" spans="1:8" x14ac:dyDescent="0.35">
      <c r="A13" s="19" t="s">
        <v>341</v>
      </c>
      <c r="B13" s="15"/>
    </row>
    <row r="14" spans="1:8" x14ac:dyDescent="0.35">
      <c r="A14" t="s">
        <v>342</v>
      </c>
      <c r="B14" t="s">
        <v>343</v>
      </c>
    </row>
    <row r="15" spans="1:8" x14ac:dyDescent="0.35">
      <c r="A15" t="s">
        <v>344</v>
      </c>
      <c r="B15" t="s">
        <v>343</v>
      </c>
    </row>
    <row r="16" spans="1:8" x14ac:dyDescent="0.35">
      <c r="A16" t="s">
        <v>345</v>
      </c>
      <c r="B16" t="s">
        <v>343</v>
      </c>
    </row>
    <row r="17" spans="1:4" x14ac:dyDescent="0.35">
      <c r="A17" t="s">
        <v>346</v>
      </c>
      <c r="B17" t="s">
        <v>343</v>
      </c>
    </row>
    <row r="19" spans="1:4" ht="17" x14ac:dyDescent="0.4">
      <c r="A19" s="22" t="s">
        <v>347</v>
      </c>
      <c r="B19" s="15"/>
      <c r="C19" s="15"/>
      <c r="D19" s="15"/>
    </row>
    <row r="20" spans="1:4" x14ac:dyDescent="0.35">
      <c r="A20" s="17" t="s">
        <v>348</v>
      </c>
      <c r="B20" s="15"/>
      <c r="C20" s="15"/>
      <c r="D20" s="15"/>
    </row>
    <row r="22" spans="1:4" x14ac:dyDescent="0.35">
      <c r="A22" s="23" t="s">
        <v>349</v>
      </c>
      <c r="B22" s="23" t="s">
        <v>332</v>
      </c>
      <c r="C22" s="23" t="s">
        <v>337</v>
      </c>
    </row>
    <row r="23" spans="1:4" x14ac:dyDescent="0.35">
      <c r="A23" t="s">
        <v>350</v>
      </c>
      <c r="B23">
        <v>5.0000000000000001E-3</v>
      </c>
      <c r="C23" t="s">
        <v>351</v>
      </c>
    </row>
    <row r="24" spans="1:4" x14ac:dyDescent="0.35">
      <c r="A24" t="s">
        <v>352</v>
      </c>
      <c r="B24" t="s">
        <v>353</v>
      </c>
      <c r="C24" t="s">
        <v>354</v>
      </c>
    </row>
    <row r="25" spans="1:4" x14ac:dyDescent="0.35">
      <c r="A25" t="s">
        <v>355</v>
      </c>
      <c r="B25" t="s">
        <v>356</v>
      </c>
      <c r="C25" t="s">
        <v>357</v>
      </c>
    </row>
    <row r="26" spans="1:4" x14ac:dyDescent="0.35">
      <c r="A26" t="s">
        <v>358</v>
      </c>
      <c r="B26" t="s">
        <v>359</v>
      </c>
      <c r="C26" t="s">
        <v>360</v>
      </c>
    </row>
    <row r="28" spans="1:4" ht="17" x14ac:dyDescent="0.4">
      <c r="A28" s="24" t="s">
        <v>361</v>
      </c>
      <c r="B28" s="15"/>
      <c r="C28" s="15"/>
      <c r="D28" s="15"/>
    </row>
    <row r="30" spans="1:4" x14ac:dyDescent="0.35">
      <c r="A30" s="25" t="s">
        <v>362</v>
      </c>
      <c r="B30" s="25" t="s">
        <v>363</v>
      </c>
      <c r="C30" s="25" t="s">
        <v>337</v>
      </c>
    </row>
    <row r="31" spans="1:4" x14ac:dyDescent="0.35">
      <c r="A31" t="s">
        <v>364</v>
      </c>
      <c r="B31">
        <v>5.1999999999999998E-2</v>
      </c>
      <c r="C31" t="s">
        <v>365</v>
      </c>
    </row>
    <row r="32" spans="1:4" x14ac:dyDescent="0.35">
      <c r="A32" t="s">
        <v>366</v>
      </c>
      <c r="B32" t="s">
        <v>367</v>
      </c>
      <c r="C32" t="s">
        <v>368</v>
      </c>
    </row>
    <row r="33" spans="1:5" x14ac:dyDescent="0.35">
      <c r="A33" t="s">
        <v>369</v>
      </c>
      <c r="C33" t="s">
        <v>370</v>
      </c>
    </row>
    <row r="35" spans="1:5" ht="17" x14ac:dyDescent="0.4">
      <c r="A35" s="26" t="s">
        <v>371</v>
      </c>
      <c r="B35" s="15"/>
      <c r="C35" s="15"/>
      <c r="D35" s="15"/>
    </row>
    <row r="37" spans="1:5" x14ac:dyDescent="0.35">
      <c r="A37" s="28" t="s">
        <v>4</v>
      </c>
      <c r="B37" s="28" t="s">
        <v>372</v>
      </c>
      <c r="D37" s="28" t="s">
        <v>5</v>
      </c>
      <c r="E37" s="28" t="s">
        <v>372</v>
      </c>
    </row>
    <row r="38" spans="1:5" x14ac:dyDescent="0.35">
      <c r="A38" t="s">
        <v>373</v>
      </c>
      <c r="B38" s="29">
        <v>0.54500000000000004</v>
      </c>
      <c r="D38" t="s">
        <v>15</v>
      </c>
      <c r="E38" s="27">
        <v>0.42399999999999999</v>
      </c>
    </row>
    <row r="39" spans="1:5" x14ac:dyDescent="0.35">
      <c r="A39" t="s">
        <v>27</v>
      </c>
      <c r="B39" s="27">
        <v>0.44400000000000001</v>
      </c>
      <c r="D39" t="s">
        <v>28</v>
      </c>
      <c r="E39" s="27">
        <v>0.40899999999999997</v>
      </c>
    </row>
    <row r="40" spans="1:5" x14ac:dyDescent="0.35">
      <c r="A40" t="s">
        <v>14</v>
      </c>
      <c r="B40" s="27">
        <v>0.313</v>
      </c>
      <c r="D40" t="s">
        <v>45</v>
      </c>
      <c r="E40" s="27">
        <v>0.33300000000000002</v>
      </c>
    </row>
    <row r="41" spans="1:5" x14ac:dyDescent="0.35">
      <c r="A41" t="s">
        <v>37</v>
      </c>
      <c r="B41" s="27">
        <v>0.21099999999999999</v>
      </c>
      <c r="D41" t="s">
        <v>374</v>
      </c>
      <c r="E41" s="27">
        <v>0.33300000000000002</v>
      </c>
    </row>
    <row r="43" spans="1:5" ht="17" x14ac:dyDescent="0.4">
      <c r="A43" s="30" t="s">
        <v>375</v>
      </c>
      <c r="B43" s="15"/>
      <c r="C43" s="15"/>
      <c r="D43" s="15"/>
    </row>
    <row r="45" spans="1:5" x14ac:dyDescent="0.35">
      <c r="A45" s="31" t="s">
        <v>376</v>
      </c>
      <c r="B45" s="31" t="s">
        <v>377</v>
      </c>
      <c r="C45" s="31" t="s">
        <v>378</v>
      </c>
      <c r="D45" s="31" t="s">
        <v>379</v>
      </c>
    </row>
    <row r="46" spans="1:5" x14ac:dyDescent="0.35">
      <c r="A46" t="s">
        <v>380</v>
      </c>
      <c r="B46">
        <v>23</v>
      </c>
      <c r="C46" t="s">
        <v>381</v>
      </c>
      <c r="D46">
        <v>3.09</v>
      </c>
    </row>
    <row r="47" spans="1:5" x14ac:dyDescent="0.35">
      <c r="A47" t="s">
        <v>382</v>
      </c>
      <c r="B47">
        <v>28</v>
      </c>
      <c r="C47" t="s">
        <v>383</v>
      </c>
      <c r="D47">
        <v>2.93</v>
      </c>
    </row>
    <row r="48" spans="1:5" x14ac:dyDescent="0.35">
      <c r="A48" t="s">
        <v>384</v>
      </c>
      <c r="B48">
        <v>26</v>
      </c>
      <c r="C48" t="s">
        <v>385</v>
      </c>
      <c r="D48" s="32">
        <v>2.38</v>
      </c>
    </row>
    <row r="49" spans="1:4" x14ac:dyDescent="0.35">
      <c r="A49" t="s">
        <v>386</v>
      </c>
      <c r="B49">
        <v>23</v>
      </c>
      <c r="C49" s="32" t="s">
        <v>387</v>
      </c>
      <c r="D49">
        <v>3.48</v>
      </c>
    </row>
  </sheetData>
  <mergeCells count="10">
    <mergeCell ref="A20:D20"/>
    <mergeCell ref="A28:D28"/>
    <mergeCell ref="A35:D35"/>
    <mergeCell ref="A43:D43"/>
    <mergeCell ref="A1:H1"/>
    <mergeCell ref="A2:H2"/>
    <mergeCell ref="A4:D4"/>
    <mergeCell ref="A5:D5"/>
    <mergeCell ref="A13:B13"/>
    <mergeCell ref="A19:D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</vt:lpstr>
      <vt:lpstr>Gráfico recomendado</vt:lpstr>
      <vt:lpstr>Tabla recomendada</vt:lpstr>
      <vt:lpstr>Analizar datos</vt:lpstr>
      <vt:lpstr>Resumen Análisis IA</vt:lpstr>
      <vt:lpstr>Documentación</vt:lpstr>
      <vt:lpstr>Análisis Predictivo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Martínez</cp:lastModifiedBy>
  <dcterms:created xsi:type="dcterms:W3CDTF">2026-04-24T17:54:57Z</dcterms:created>
  <dcterms:modified xsi:type="dcterms:W3CDTF">2026-04-24T18:52:32Z</dcterms:modified>
</cp:coreProperties>
</file>